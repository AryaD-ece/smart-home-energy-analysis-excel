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E_Projec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tc={012ddb78-d9b7-4c3c-8951-a5542b784dfe}</author>
    <author>tc={12a23904-1302-4082-8db2-4de743e22f50}</author>
    <author>tc={141a75b6-cf41-4ea9-aaed-89995cd8bbab}</author>
    <author>tc={32ea626a-fcca-43c0-bdd2-52e1066fe25d}</author>
    <author>tc={3e4ca323-98e9-44cf-9a96-f362c5466a7c}</author>
    <author>tc={83aff857-c270-4cbc-963f-2e99541ec17e}</author>
    <author>tc={a0370a93-2b36-4b16-a566-8759dc7ffb36}</author>
    <author>tc={e2681ec9-c8e9-483f-9fef-2f3f84a0a3ab}</author>
    <author>tc={f483115c-15f6-48fc-bf75-6668e66e64f9}</author>
  </authors>
  <commentList>
    <comment authorId="0" xr:uid="{012ddb78-d9b7-4c3c-8951-a5542b784dfe}" ref="P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Maps hour to day segments
</t>
      </text>
    </comment>
    <comment authorId="1" xr:uid="{12a23904-1302-4082-8db2-4de743e22f50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Simulated time variation for segmentation
</t>
      </text>
    </comment>
    <comment authorId="2" xr:uid="{141a75b6-cf41-4ea9-aaed-89995cd8bbab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VLOOKUP Table
</t>
      </text>
    </comment>
    <comment authorId="3" xr:uid="{32ea626a-fcca-43c0-bdd2-52e1066fe25d}" ref="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HLOOKUP Table
</t>
      </text>
    </comment>
    <comment authorId="4" xr:uid="{3e4ca323-98e9-44cf-9a96-f362c5466a7c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Overall distribution of usage types
</t>
      </text>
    </comment>
    <comment authorId="5" xr:uid="{83aff857-c270-4cbc-963f-2e99541ec17e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Threshold (chart purpose)
</t>
      </text>
    </comment>
    <comment authorId="6" xr:uid="{a0370a93-2b36-4b16-a566-8759dc7ffb36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Cutoff to classify High vs Normal
</t>
      </text>
    </comment>
    <comment authorId="7" xr:uid="{e2681ec9-c8e9-483f-9fef-2f3f84a0a3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Columns (A-D) are imported from Kaggle
</t>
      </text>
    </comment>
    <comment authorId="8" xr:uid="{f483115c-15f6-48fc-bf75-6668e66e64f9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Counts high-usage events per device
</t>
      </text>
    </comment>
  </commentList>
</comments>
</file>

<file path=xl/sharedStrings.xml><?xml version="1.0" encoding="utf-8"?>
<sst xmlns="http://schemas.openxmlformats.org/spreadsheetml/2006/main" count="31" uniqueCount="28">
  <si>
    <t>Time</t>
  </si>
  <si>
    <t>Energy [kW]</t>
  </si>
  <si>
    <t>Temp</t>
  </si>
  <si>
    <t>Humidity</t>
  </si>
  <si>
    <t>Hour</t>
  </si>
  <si>
    <t>Scaled Energy</t>
  </si>
  <si>
    <t>Usage Level</t>
  </si>
  <si>
    <t>Time Block</t>
  </si>
  <si>
    <t>Device Code</t>
  </si>
  <si>
    <t>Device Name</t>
  </si>
  <si>
    <t>Pseudo Hour</t>
  </si>
  <si>
    <t>Threshold</t>
  </si>
  <si>
    <t>Threshold Value</t>
  </si>
  <si>
    <t>Count Of High</t>
  </si>
  <si>
    <t>Count</t>
  </si>
  <si>
    <t>AC</t>
  </si>
  <si>
    <t>High</t>
  </si>
  <si>
    <t>Heater</t>
  </si>
  <si>
    <t>Normal</t>
  </si>
  <si>
    <t>Fridge</t>
  </si>
  <si>
    <t>Night</t>
  </si>
  <si>
    <t>Morning</t>
  </si>
  <si>
    <t>Afternoon</t>
  </si>
  <si>
    <t>Evening</t>
  </si>
  <si>
    <t>Model Assumptions</t>
  </si>
  <si>
    <t>• Threshold = average energy consumption used to classify High vs Normal usage</t>
  </si>
  <si>
    <t>• Energy values are scaled to improve visualization and comparison</t>
  </si>
  <si>
    <t>• Device mapping is simulated to demonstrate VLOOKUP/HLOOKUP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</si>
</sst>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4" xfId="0" applyAlignment="1" applyBorder="1" applyFill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7" fontId="2" numFmtId="164" xfId="0" applyAlignment="1" applyBorder="1" applyFill="1" applyFont="1" applyNumberFormat="1">
      <alignment horizontal="center"/>
    </xf>
    <xf borderId="1" fillId="7" fontId="2" numFmtId="0" xfId="0" applyAlignment="1" applyBorder="1" applyFont="1">
      <alignment horizontal="center" readingOrder="0"/>
    </xf>
    <xf borderId="1" fillId="8" fontId="2" numFmtId="4" xfId="0" applyAlignment="1" applyBorder="1" applyFill="1" applyFont="1" applyNumberFormat="1">
      <alignment horizontal="center" readingOrder="0"/>
    </xf>
    <xf borderId="1" fillId="8" fontId="2" numFmtId="0" xfId="0" applyAlignment="1" applyBorder="1" applyFont="1">
      <alignment horizontal="center"/>
    </xf>
    <xf borderId="2" fillId="8" fontId="2" numFmtId="0" xfId="0" applyAlignment="1" applyBorder="1" applyFont="1">
      <alignment horizontal="center"/>
    </xf>
    <xf borderId="1" fillId="9" fontId="2" numFmtId="0" xfId="0" applyAlignment="1" applyBorder="1" applyFill="1" applyFont="1">
      <alignment horizontal="center"/>
    </xf>
    <xf borderId="3" fillId="10" fontId="2" numFmtId="0" xfId="0" applyAlignment="1" applyBorder="1" applyFill="1" applyFont="1">
      <alignment horizontal="center"/>
    </xf>
    <xf borderId="1" fillId="11" fontId="2" numFmtId="0" xfId="0" applyAlignment="1" applyBorder="1" applyFill="1" applyFont="1">
      <alignment horizontal="center" readingOrder="0"/>
    </xf>
    <xf borderId="1" fillId="11" fontId="2" numFmtId="0" xfId="0" applyAlignment="1" applyBorder="1" applyFont="1">
      <alignment horizontal="center"/>
    </xf>
    <xf borderId="1" fillId="1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1" fillId="13" fontId="1" numFmtId="0" xfId="0" applyAlignment="1" applyBorder="1" applyFill="1" applyFon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Temperature vs Energy Consumption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DAE_Project!$B$1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1C4587"/>
              </a:solidFill>
              <a:ln cmpd="sng">
                <a:solidFill>
                  <a:srgbClr val="1C4587"/>
                </a:solidFill>
              </a:ln>
            </c:spPr>
          </c:marker>
          <c:trendline>
            <c:name/>
            <c:spPr>
              <a:ln w="38100">
                <a:solidFill>
                  <a:srgbClr val="CC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DAE_Project!$C$2:$C$301</c:f>
            </c:numRef>
          </c:xVal>
          <c:yVal>
            <c:numRef>
              <c:f>DAE_Project!$B$2:$B$301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4768"/>
        <c:axId val="1650414290"/>
      </c:scatterChart>
      <c:valAx>
        <c:axId val="381744768"/>
        <c:scaling>
          <c:orientation val="minMax"/>
        </c:scaling>
        <c:delete val="0"/>
        <c:axPos val="b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414290"/>
      </c:valAx>
      <c:valAx>
        <c:axId val="165041429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Energy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744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Energy Consumption Over Time with Threshold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DAE_Project!$B$1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DAE_Project!$A$2:$A$301</c:f>
            </c:strRef>
          </c:cat>
          <c:val>
            <c:numRef>
              <c:f>DAE_Project!$B$2:$B$301</c:f>
              <c:numCache/>
            </c:numRef>
          </c:val>
          <c:smooth val="0"/>
        </c:ser>
        <c:ser>
          <c:idx val="1"/>
          <c:order val="1"/>
          <c:tx>
            <c:strRef>
              <c:f>DAE_Project!$M$1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DAE_Project!$A$2:$A$301</c:f>
            </c:strRef>
          </c:cat>
          <c:val>
            <c:numRef>
              <c:f>DAE_Project!$M$2:$M$301</c:f>
              <c:numCache/>
            </c:numRef>
          </c:val>
          <c:smooth val="0"/>
        </c:ser>
        <c:axId val="439029725"/>
        <c:axId val="1891413240"/>
      </c:lineChart>
      <c:catAx>
        <c:axId val="439029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413240"/>
      </c:catAx>
      <c:valAx>
        <c:axId val="1891413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Energy [kW]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029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Usage Level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DAE_Project!$R$1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57D81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DAE_Project!$Q$2:$Q$3</c:f>
            </c:strRef>
          </c:cat>
          <c:val>
            <c:numRef>
              <c:f>DAE_Project!$R$2:$R$3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High Energy Usage Count by Device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DAE_Project!$P$1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DAE_Project!$O$2:$O$4</c:f>
            </c:strRef>
          </c:cat>
          <c:val>
            <c:numRef>
              <c:f>DAE_Project!$P$2:$P$4</c:f>
              <c:numCache/>
            </c:numRef>
          </c:val>
        </c:ser>
        <c:axId val="1982969622"/>
        <c:axId val="1431244516"/>
      </c:barChart>
      <c:catAx>
        <c:axId val="1982969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Device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244516"/>
      </c:catAx>
      <c:valAx>
        <c:axId val="1431244516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Number of High Usage Instances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969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361950</xdr:colOff>
      <xdr:row>12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219075</xdr:colOff>
      <xdr:row>12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866775</xdr:colOff>
      <xdr:row>54</xdr:row>
      <xdr:rowOff>95250</xdr:rowOff>
    </xdr:from>
    <xdr:ext cx="5715000" cy="3533775"/>
    <xdr:pic>
      <xdr:nvPicPr>
        <xdr:cNvPr id="117114747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219075</xdr:colOff>
      <xdr:row>31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361950</xdr:colOff>
      <xdr:row>31</xdr:row>
      <xdr:rowOff>76200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NM24EC027 ARYA DINESH" id="{2919bde0-4b7f-483e-be6e-b1fe1da357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01T11:46:31.00" personId="{2919bde0-4b7f-483e-be6e-b1fe1da3578c}" id="{e2681ec9-c8e9-483f-9fef-2f3f84a0a3ab}" done="0">
    <x18tc:text xml:space="preserve">Columns (A-D) are imported from Kaggle</x18tc:text>
  </x18tc:threadedComment>
  <x18tc:threadedComment ref="M1" dT="2026-05-01T11:48:28.00" personId="{2919bde0-4b7f-483e-be6e-b1fe1da3578c}" id="{83aff857-c270-4cbc-963f-2e99541ec17e}" done="0">
    <x18tc:text xml:space="preserve">Threshold (chart purpose)</x18tc:text>
  </x18tc:threadedComment>
  <x18tc:threadedComment ref="P11" dT="2026-05-01T11:50:36.00" personId="{2919bde0-4b7f-483e-be6e-b1fe1da3578c}" id="{012ddb78-d9b7-4c3c-8951-a5542b784dfe}" done="0">
    <x18tc:text xml:space="preserve">Maps hour to day segments</x18tc:text>
  </x18tc:threadedComment>
  <x18tc:threadedComment ref="Q1" dT="2026-05-01T11:49:12.00" personId="{2919bde0-4b7f-483e-be6e-b1fe1da3578c}" id="{141a75b6-cf41-4ea9-aaed-89995cd8bbab}" done="0">
    <x18tc:text xml:space="preserve">VLOOKUP Table</x18tc:text>
  </x18tc:threadedComment>
  <x18tc:threadedComment ref="L1" dT="2026-05-01T11:48:09.00" personId="{2919bde0-4b7f-483e-be6e-b1fe1da3578c}" id="{a0370a93-2b36-4b16-a566-8759dc7ffb36}" done="0">
    <x18tc:text xml:space="preserve">Cutoff to classify High vs Normal</x18tc:text>
  </x18tc:threadedComment>
  <x18tc:threadedComment ref="R1" dT="2026-05-01T11:50:26.00" personId="{2919bde0-4b7f-483e-be6e-b1fe1da3578c}" id="{3e4ca323-98e9-44cf-9a96-f362c5466a7c}" done="0">
    <x18tc:text xml:space="preserve">Overall distribution of usage types</x18tc:text>
  </x18tc:threadedComment>
  <x18tc:threadedComment ref="P1" dT="2026-05-01T11:48:49.00" personId="{2919bde0-4b7f-483e-be6e-b1fe1da3578c}" id="{f483115c-15f6-48fc-bf75-6668e66e64f9}" done="0">
    <x18tc:text xml:space="preserve">Counts high-usage events per device</x18tc:text>
  </x18tc:threadedComment>
  <x18tc:threadedComment ref="K1" dT="2026-05-01T11:47:56.00" personId="{2919bde0-4b7f-483e-be6e-b1fe1da3578c}" id="{12a23904-1302-4082-8db2-4de743e22f50}" done="0">
    <x18tc:text xml:space="preserve">Simulated time variation for segmentation</x18tc:text>
  </x18tc:threadedComment>
  <x18tc:threadedComment ref="P10" dT="2026-05-01T11:49:41.00" personId="{2919bde0-4b7f-483e-be6e-b1fe1da3578c}" id="{32ea626a-fcca-43c0-bdd2-52e1066fe25d}" done="0">
    <x18tc:text xml:space="preserve">HLOOKUP Table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8.38"/>
    <col customWidth="1" min="3" max="3" width="19.63"/>
    <col customWidth="1" min="4" max="4" width="19.75"/>
    <col customWidth="1" min="5" max="5" width="19.38"/>
    <col customWidth="1" min="6" max="6" width="21.88"/>
    <col customWidth="1" min="13" max="13" width="14.75"/>
    <col customWidth="1" min="16" max="1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7" t="s">
        <v>8</v>
      </c>
      <c r="O1" s="7" t="s">
        <v>9</v>
      </c>
      <c r="P1" s="7" t="s">
        <v>13</v>
      </c>
      <c r="Q1" s="8" t="s">
        <v>6</v>
      </c>
      <c r="R1" s="8" t="s">
        <v>14</v>
      </c>
      <c r="S1" s="9"/>
      <c r="T1" s="9"/>
    </row>
    <row r="2">
      <c r="A2" s="10">
        <v>42370.20833333333</v>
      </c>
      <c r="B2" s="11">
        <v>0.932833333</v>
      </c>
      <c r="C2" s="11">
        <v>36.14</v>
      </c>
      <c r="D2" s="11">
        <v>0.62</v>
      </c>
      <c r="E2" s="12">
        <f t="shared" ref="E2:E300" si="1">HOUR(A2)</f>
        <v>5</v>
      </c>
      <c r="F2" s="13">
        <f t="shared" ref="F2:F300" si="2">ROUND(B2/1000,4)</f>
        <v>0.0009</v>
      </c>
      <c r="G2" s="13" t="str">
        <f t="shared" ref="G2:G300" si="3">IF(B2&gt;$L$2,"High","Normal")</f>
        <v>High</v>
      </c>
      <c r="H2" s="13" t="str">
        <f t="shared" ref="H2:H300" si="4">HLOOKUP(K2,$P$10:$S$11,2,TRUE)</f>
        <v>Night</v>
      </c>
      <c r="I2" s="13">
        <f t="shared" ref="I2:I300" si="5">MOD(ROW(),3)+1</f>
        <v>3</v>
      </c>
      <c r="J2" s="14" t="str">
        <f t="shared" ref="J2:J300" si="6">VLOOKUP(I2,$N$2:$O$4,2,FALSE)</f>
        <v>Fridge</v>
      </c>
      <c r="K2" s="15">
        <f t="shared" ref="K2:K300" si="7">MOD(ROW(),24)</f>
        <v>2</v>
      </c>
      <c r="L2" s="16">
        <f>AVERAGE(B2:B301)</f>
        <v>0.8567001115</v>
      </c>
      <c r="M2" s="15">
        <f t="shared" ref="M2:M300" si="8">$L$2</f>
        <v>0.8567001115</v>
      </c>
      <c r="N2" s="17">
        <v>1.0</v>
      </c>
      <c r="O2" s="17" t="s">
        <v>15</v>
      </c>
      <c r="P2" s="18">
        <f>COUNTIFS(J2:J301,"AC",G2:G301,"High")</f>
        <v>47</v>
      </c>
      <c r="Q2" s="19" t="s">
        <v>16</v>
      </c>
      <c r="R2" s="19">
        <f>COUNTIF(G2:G301,"High")</f>
        <v>138</v>
      </c>
      <c r="S2" s="9"/>
      <c r="T2" s="9"/>
    </row>
    <row r="3">
      <c r="A3" s="10">
        <v>42370.20834490741</v>
      </c>
      <c r="B3" s="11">
        <v>0.934333333</v>
      </c>
      <c r="C3" s="11">
        <v>36.14</v>
      </c>
      <c r="D3" s="11">
        <v>0.62</v>
      </c>
      <c r="E3" s="12">
        <f t="shared" si="1"/>
        <v>5</v>
      </c>
      <c r="F3" s="13">
        <f t="shared" si="2"/>
        <v>0.0009</v>
      </c>
      <c r="G3" s="13" t="str">
        <f t="shared" si="3"/>
        <v>High</v>
      </c>
      <c r="H3" s="13" t="str">
        <f t="shared" si="4"/>
        <v>Night</v>
      </c>
      <c r="I3" s="13">
        <f t="shared" si="5"/>
        <v>1</v>
      </c>
      <c r="J3" s="14" t="str">
        <f t="shared" si="6"/>
        <v>AC</v>
      </c>
      <c r="K3" s="15">
        <f t="shared" si="7"/>
        <v>3</v>
      </c>
      <c r="M3" s="15">
        <f t="shared" si="8"/>
        <v>0.8567001115</v>
      </c>
      <c r="N3" s="17">
        <v>2.0</v>
      </c>
      <c r="O3" s="17" t="s">
        <v>17</v>
      </c>
      <c r="P3" s="18">
        <f>COUNTIFS(J2:J301,"Heater",G2:G301,"High")</f>
        <v>45</v>
      </c>
      <c r="Q3" s="19" t="s">
        <v>18</v>
      </c>
      <c r="R3" s="19">
        <f>COUNTIF(G2:G301,"Normal")</f>
        <v>161</v>
      </c>
      <c r="S3" s="9"/>
      <c r="T3" s="9"/>
    </row>
    <row r="4">
      <c r="A4" s="10">
        <v>42370.20835648148</v>
      </c>
      <c r="B4" s="11">
        <v>0.931816667</v>
      </c>
      <c r="C4" s="11">
        <v>36.14</v>
      </c>
      <c r="D4" s="11">
        <v>0.62</v>
      </c>
      <c r="E4" s="12">
        <f t="shared" si="1"/>
        <v>5</v>
      </c>
      <c r="F4" s="13">
        <f t="shared" si="2"/>
        <v>0.0009</v>
      </c>
      <c r="G4" s="13" t="str">
        <f t="shared" si="3"/>
        <v>High</v>
      </c>
      <c r="H4" s="13" t="str">
        <f t="shared" si="4"/>
        <v>Night</v>
      </c>
      <c r="I4" s="13">
        <f t="shared" si="5"/>
        <v>2</v>
      </c>
      <c r="J4" s="14" t="str">
        <f t="shared" si="6"/>
        <v>Heater</v>
      </c>
      <c r="K4" s="15">
        <f t="shared" si="7"/>
        <v>4</v>
      </c>
      <c r="M4" s="15">
        <f t="shared" si="8"/>
        <v>0.8567001115</v>
      </c>
      <c r="N4" s="17">
        <v>3.0</v>
      </c>
      <c r="O4" s="17" t="s">
        <v>19</v>
      </c>
      <c r="P4" s="18">
        <f>COUNTIFS(J2:J301,"Fridge",G2:G301,"High")</f>
        <v>46</v>
      </c>
      <c r="S4" s="9"/>
      <c r="T4" s="9"/>
    </row>
    <row r="5">
      <c r="A5" s="10">
        <v>42370.20836805555</v>
      </c>
      <c r="B5" s="11">
        <v>1.02205</v>
      </c>
      <c r="C5" s="11">
        <v>36.14</v>
      </c>
      <c r="D5" s="11">
        <v>0.62</v>
      </c>
      <c r="E5" s="12">
        <f t="shared" si="1"/>
        <v>5</v>
      </c>
      <c r="F5" s="13">
        <f t="shared" si="2"/>
        <v>0.001</v>
      </c>
      <c r="G5" s="13" t="str">
        <f t="shared" si="3"/>
        <v>High</v>
      </c>
      <c r="H5" s="13" t="str">
        <f t="shared" si="4"/>
        <v>Night</v>
      </c>
      <c r="I5" s="13">
        <f t="shared" si="5"/>
        <v>3</v>
      </c>
      <c r="J5" s="14" t="str">
        <f t="shared" si="6"/>
        <v>Fridge</v>
      </c>
      <c r="K5" s="15">
        <f t="shared" si="7"/>
        <v>5</v>
      </c>
      <c r="M5" s="15">
        <f t="shared" si="8"/>
        <v>0.8567001115</v>
      </c>
      <c r="N5" s="9"/>
      <c r="O5" s="9"/>
      <c r="P5" s="9"/>
      <c r="Q5" s="9"/>
      <c r="R5" s="9"/>
      <c r="S5" s="9"/>
      <c r="T5" s="9"/>
    </row>
    <row r="6">
      <c r="A6" s="10">
        <v>42370.20837962963</v>
      </c>
      <c r="B6" s="11">
        <v>1.1394</v>
      </c>
      <c r="C6" s="11">
        <v>36.14</v>
      </c>
      <c r="D6" s="11">
        <v>0.62</v>
      </c>
      <c r="E6" s="12">
        <f t="shared" si="1"/>
        <v>5</v>
      </c>
      <c r="F6" s="13">
        <f t="shared" si="2"/>
        <v>0.0011</v>
      </c>
      <c r="G6" s="13" t="str">
        <f t="shared" si="3"/>
        <v>High</v>
      </c>
      <c r="H6" s="13" t="str">
        <f t="shared" si="4"/>
        <v>Morning</v>
      </c>
      <c r="I6" s="13">
        <f t="shared" si="5"/>
        <v>1</v>
      </c>
      <c r="J6" s="14" t="str">
        <f t="shared" si="6"/>
        <v>AC</v>
      </c>
      <c r="K6" s="15">
        <f t="shared" si="7"/>
        <v>6</v>
      </c>
      <c r="M6" s="15">
        <f t="shared" si="8"/>
        <v>0.8567001115</v>
      </c>
      <c r="N6" s="9"/>
      <c r="O6" s="9"/>
      <c r="P6" s="9"/>
      <c r="Q6" s="9"/>
      <c r="R6" s="9"/>
      <c r="S6" s="9"/>
      <c r="T6" s="9"/>
    </row>
    <row r="7">
      <c r="A7" s="10">
        <v>42370.208391203705</v>
      </c>
      <c r="B7" s="11">
        <v>1.391866667</v>
      </c>
      <c r="C7" s="11">
        <v>36.14</v>
      </c>
      <c r="D7" s="11">
        <v>0.62</v>
      </c>
      <c r="E7" s="12">
        <f t="shared" si="1"/>
        <v>5</v>
      </c>
      <c r="F7" s="13">
        <f t="shared" si="2"/>
        <v>0.0014</v>
      </c>
      <c r="G7" s="13" t="str">
        <f t="shared" si="3"/>
        <v>High</v>
      </c>
      <c r="H7" s="13" t="str">
        <f t="shared" si="4"/>
        <v>Morning</v>
      </c>
      <c r="I7" s="13">
        <f t="shared" si="5"/>
        <v>2</v>
      </c>
      <c r="J7" s="14" t="str">
        <f t="shared" si="6"/>
        <v>Heater</v>
      </c>
      <c r="K7" s="15">
        <f t="shared" si="7"/>
        <v>7</v>
      </c>
      <c r="M7" s="15">
        <f t="shared" si="8"/>
        <v>0.8567001115</v>
      </c>
      <c r="N7" s="9"/>
      <c r="O7" s="9"/>
      <c r="P7" s="9"/>
      <c r="Q7" s="9"/>
      <c r="R7" s="9"/>
      <c r="S7" s="9"/>
      <c r="T7" s="9"/>
    </row>
    <row r="8">
      <c r="A8" s="10">
        <v>42370.208402777775</v>
      </c>
      <c r="B8" s="11">
        <v>1.366216667</v>
      </c>
      <c r="C8" s="11">
        <v>36.14</v>
      </c>
      <c r="D8" s="11">
        <v>0.62</v>
      </c>
      <c r="E8" s="12">
        <f t="shared" si="1"/>
        <v>5</v>
      </c>
      <c r="F8" s="13">
        <f t="shared" si="2"/>
        <v>0.0014</v>
      </c>
      <c r="G8" s="13" t="str">
        <f t="shared" si="3"/>
        <v>High</v>
      </c>
      <c r="H8" s="13" t="str">
        <f t="shared" si="4"/>
        <v>Morning</v>
      </c>
      <c r="I8" s="13">
        <f t="shared" si="5"/>
        <v>3</v>
      </c>
      <c r="J8" s="14" t="str">
        <f t="shared" si="6"/>
        <v>Fridge</v>
      </c>
      <c r="K8" s="15">
        <f t="shared" si="7"/>
        <v>8</v>
      </c>
      <c r="M8" s="15">
        <f t="shared" si="8"/>
        <v>0.8567001115</v>
      </c>
      <c r="N8" s="9"/>
      <c r="O8" s="9"/>
      <c r="P8" s="9"/>
      <c r="Q8" s="9"/>
      <c r="R8" s="9"/>
      <c r="S8" s="9"/>
      <c r="T8" s="9"/>
    </row>
    <row r="9">
      <c r="A9" s="10">
        <v>42370.20841435185</v>
      </c>
      <c r="B9" s="11">
        <v>1.4319</v>
      </c>
      <c r="C9" s="11">
        <v>36.14</v>
      </c>
      <c r="D9" s="11">
        <v>0.62</v>
      </c>
      <c r="E9" s="12">
        <f t="shared" si="1"/>
        <v>5</v>
      </c>
      <c r="F9" s="13">
        <f t="shared" si="2"/>
        <v>0.0014</v>
      </c>
      <c r="G9" s="13" t="str">
        <f t="shared" si="3"/>
        <v>High</v>
      </c>
      <c r="H9" s="13" t="str">
        <f t="shared" si="4"/>
        <v>Morning</v>
      </c>
      <c r="I9" s="13">
        <f t="shared" si="5"/>
        <v>1</v>
      </c>
      <c r="J9" s="14" t="str">
        <f t="shared" si="6"/>
        <v>AC</v>
      </c>
      <c r="K9" s="15">
        <f t="shared" si="7"/>
        <v>9</v>
      </c>
      <c r="M9" s="15">
        <f t="shared" si="8"/>
        <v>0.8567001115</v>
      </c>
      <c r="N9" s="9"/>
      <c r="O9" s="9"/>
      <c r="P9" s="20"/>
      <c r="Q9" s="20"/>
      <c r="R9" s="20"/>
      <c r="S9" s="20"/>
      <c r="T9" s="9"/>
    </row>
    <row r="10">
      <c r="A10" s="10">
        <v>42370.20842592593</v>
      </c>
      <c r="B10" s="11">
        <v>1.6273</v>
      </c>
      <c r="C10" s="11">
        <v>36.14</v>
      </c>
      <c r="D10" s="11">
        <v>0.62</v>
      </c>
      <c r="E10" s="12">
        <f t="shared" si="1"/>
        <v>5</v>
      </c>
      <c r="F10" s="13">
        <f t="shared" si="2"/>
        <v>0.0016</v>
      </c>
      <c r="G10" s="13" t="str">
        <f t="shared" si="3"/>
        <v>High</v>
      </c>
      <c r="H10" s="13" t="str">
        <f t="shared" si="4"/>
        <v>Morning</v>
      </c>
      <c r="I10" s="13">
        <f t="shared" si="5"/>
        <v>2</v>
      </c>
      <c r="J10" s="14" t="str">
        <f t="shared" si="6"/>
        <v>Heater</v>
      </c>
      <c r="K10" s="15">
        <f t="shared" si="7"/>
        <v>10</v>
      </c>
      <c r="M10" s="15">
        <f t="shared" si="8"/>
        <v>0.8567001115</v>
      </c>
      <c r="N10" s="9"/>
      <c r="O10" s="9"/>
      <c r="P10" s="21">
        <v>0.0</v>
      </c>
      <c r="Q10" s="21">
        <v>6.0</v>
      </c>
      <c r="R10" s="21">
        <v>12.0</v>
      </c>
      <c r="S10" s="21">
        <v>18.0</v>
      </c>
      <c r="T10" s="9"/>
    </row>
    <row r="11">
      <c r="A11" s="10">
        <v>42370.2084375</v>
      </c>
      <c r="B11" s="11">
        <v>1.735383333</v>
      </c>
      <c r="C11" s="11">
        <v>36.14</v>
      </c>
      <c r="D11" s="11">
        <v>0.62</v>
      </c>
      <c r="E11" s="12">
        <f t="shared" si="1"/>
        <v>5</v>
      </c>
      <c r="F11" s="13">
        <f t="shared" si="2"/>
        <v>0.0017</v>
      </c>
      <c r="G11" s="13" t="str">
        <f t="shared" si="3"/>
        <v>High</v>
      </c>
      <c r="H11" s="13" t="str">
        <f t="shared" si="4"/>
        <v>Morning</v>
      </c>
      <c r="I11" s="13">
        <f t="shared" si="5"/>
        <v>3</v>
      </c>
      <c r="J11" s="14" t="str">
        <f t="shared" si="6"/>
        <v>Fridge</v>
      </c>
      <c r="K11" s="15">
        <f t="shared" si="7"/>
        <v>11</v>
      </c>
      <c r="M11" s="15">
        <f t="shared" si="8"/>
        <v>0.8567001115</v>
      </c>
      <c r="N11" s="9"/>
      <c r="O11" s="9"/>
      <c r="P11" s="22" t="s">
        <v>20</v>
      </c>
      <c r="Q11" s="22" t="s">
        <v>21</v>
      </c>
      <c r="R11" s="22" t="s">
        <v>22</v>
      </c>
      <c r="S11" s="22" t="s">
        <v>23</v>
      </c>
      <c r="T11" s="9"/>
    </row>
    <row r="12">
      <c r="A12" s="10">
        <v>42370.208449074074</v>
      </c>
      <c r="B12" s="11">
        <v>1.585083333</v>
      </c>
      <c r="C12" s="11">
        <v>36.14</v>
      </c>
      <c r="D12" s="11">
        <v>0.62</v>
      </c>
      <c r="E12" s="12">
        <f t="shared" si="1"/>
        <v>5</v>
      </c>
      <c r="F12" s="13">
        <f t="shared" si="2"/>
        <v>0.0016</v>
      </c>
      <c r="G12" s="13" t="str">
        <f t="shared" si="3"/>
        <v>High</v>
      </c>
      <c r="H12" s="13" t="str">
        <f t="shared" si="4"/>
        <v>Afternoon</v>
      </c>
      <c r="I12" s="13">
        <f t="shared" si="5"/>
        <v>1</v>
      </c>
      <c r="J12" s="14" t="str">
        <f t="shared" si="6"/>
        <v>AC</v>
      </c>
      <c r="K12" s="15">
        <f t="shared" si="7"/>
        <v>12</v>
      </c>
      <c r="M12" s="15">
        <f t="shared" si="8"/>
        <v>0.8567001115</v>
      </c>
      <c r="N12" s="9"/>
      <c r="O12" s="9"/>
      <c r="P12" s="9"/>
      <c r="Q12" s="9"/>
      <c r="R12" s="9"/>
      <c r="S12" s="9"/>
      <c r="T12" s="9"/>
    </row>
    <row r="13">
      <c r="A13" s="10">
        <v>42370.20846064815</v>
      </c>
      <c r="B13" s="11">
        <v>1.510316667</v>
      </c>
      <c r="C13" s="11">
        <v>36.14</v>
      </c>
      <c r="D13" s="11">
        <v>0.62</v>
      </c>
      <c r="E13" s="12">
        <f t="shared" si="1"/>
        <v>5</v>
      </c>
      <c r="F13" s="13">
        <f t="shared" si="2"/>
        <v>0.0015</v>
      </c>
      <c r="G13" s="13" t="str">
        <f t="shared" si="3"/>
        <v>High</v>
      </c>
      <c r="H13" s="13" t="str">
        <f t="shared" si="4"/>
        <v>Afternoon</v>
      </c>
      <c r="I13" s="13">
        <f t="shared" si="5"/>
        <v>2</v>
      </c>
      <c r="J13" s="14" t="str">
        <f t="shared" si="6"/>
        <v>Heater</v>
      </c>
      <c r="K13" s="15">
        <f t="shared" si="7"/>
        <v>13</v>
      </c>
      <c r="M13" s="15">
        <f t="shared" si="8"/>
        <v>0.8567001115</v>
      </c>
    </row>
    <row r="14">
      <c r="A14" s="10">
        <v>42370.20847222222</v>
      </c>
      <c r="B14" s="11">
        <v>1.459866667</v>
      </c>
      <c r="C14" s="11">
        <v>36.14</v>
      </c>
      <c r="D14" s="11">
        <v>0.62</v>
      </c>
      <c r="E14" s="12">
        <f t="shared" si="1"/>
        <v>5</v>
      </c>
      <c r="F14" s="13">
        <f t="shared" si="2"/>
        <v>0.0015</v>
      </c>
      <c r="G14" s="13" t="str">
        <f t="shared" si="3"/>
        <v>High</v>
      </c>
      <c r="H14" s="13" t="str">
        <f t="shared" si="4"/>
        <v>Afternoon</v>
      </c>
      <c r="I14" s="13">
        <f t="shared" si="5"/>
        <v>3</v>
      </c>
      <c r="J14" s="14" t="str">
        <f t="shared" si="6"/>
        <v>Fridge</v>
      </c>
      <c r="K14" s="15">
        <f t="shared" si="7"/>
        <v>14</v>
      </c>
      <c r="M14" s="15">
        <f t="shared" si="8"/>
        <v>0.8567001115</v>
      </c>
    </row>
    <row r="15">
      <c r="A15" s="10">
        <v>42370.2084837963</v>
      </c>
      <c r="B15" s="11">
        <v>0.840583333</v>
      </c>
      <c r="C15" s="11">
        <v>36.14</v>
      </c>
      <c r="D15" s="11">
        <v>0.62</v>
      </c>
      <c r="E15" s="12">
        <f t="shared" si="1"/>
        <v>5</v>
      </c>
      <c r="F15" s="13">
        <f t="shared" si="2"/>
        <v>0.0008</v>
      </c>
      <c r="G15" s="13" t="str">
        <f t="shared" si="3"/>
        <v>Normal</v>
      </c>
      <c r="H15" s="13" t="str">
        <f t="shared" si="4"/>
        <v>Afternoon</v>
      </c>
      <c r="I15" s="13">
        <f t="shared" si="5"/>
        <v>1</v>
      </c>
      <c r="J15" s="14" t="str">
        <f t="shared" si="6"/>
        <v>AC</v>
      </c>
      <c r="K15" s="15">
        <f t="shared" si="7"/>
        <v>15</v>
      </c>
      <c r="M15" s="15">
        <f t="shared" si="8"/>
        <v>0.8567001115</v>
      </c>
    </row>
    <row r="16">
      <c r="A16" s="10">
        <v>42370.208495370374</v>
      </c>
      <c r="B16" s="11">
        <v>0.7032</v>
      </c>
      <c r="C16" s="11">
        <v>36.14</v>
      </c>
      <c r="D16" s="11">
        <v>0.62</v>
      </c>
      <c r="E16" s="12">
        <f t="shared" si="1"/>
        <v>5</v>
      </c>
      <c r="F16" s="13">
        <f t="shared" si="2"/>
        <v>0.0007</v>
      </c>
      <c r="G16" s="13" t="str">
        <f t="shared" si="3"/>
        <v>Normal</v>
      </c>
      <c r="H16" s="13" t="str">
        <f t="shared" si="4"/>
        <v>Afternoon</v>
      </c>
      <c r="I16" s="13">
        <f t="shared" si="5"/>
        <v>2</v>
      </c>
      <c r="J16" s="14" t="str">
        <f t="shared" si="6"/>
        <v>Heater</v>
      </c>
      <c r="K16" s="15">
        <f t="shared" si="7"/>
        <v>16</v>
      </c>
      <c r="M16" s="15">
        <f t="shared" si="8"/>
        <v>0.8567001115</v>
      </c>
    </row>
    <row r="17">
      <c r="A17" s="10">
        <v>42370.208506944444</v>
      </c>
      <c r="B17" s="11">
        <v>0.571883333</v>
      </c>
      <c r="C17" s="11">
        <v>36.14</v>
      </c>
      <c r="D17" s="11">
        <v>0.62</v>
      </c>
      <c r="E17" s="12">
        <f t="shared" si="1"/>
        <v>5</v>
      </c>
      <c r="F17" s="13">
        <f t="shared" si="2"/>
        <v>0.0006</v>
      </c>
      <c r="G17" s="13" t="str">
        <f t="shared" si="3"/>
        <v>Normal</v>
      </c>
      <c r="H17" s="13" t="str">
        <f t="shared" si="4"/>
        <v>Afternoon</v>
      </c>
      <c r="I17" s="13">
        <f t="shared" si="5"/>
        <v>3</v>
      </c>
      <c r="J17" s="14" t="str">
        <f t="shared" si="6"/>
        <v>Fridge</v>
      </c>
      <c r="K17" s="15">
        <f t="shared" si="7"/>
        <v>17</v>
      </c>
      <c r="M17" s="15">
        <f t="shared" si="8"/>
        <v>0.8567001115</v>
      </c>
    </row>
    <row r="18">
      <c r="A18" s="10">
        <v>42370.20851851851</v>
      </c>
      <c r="B18" s="11">
        <v>0.485733333</v>
      </c>
      <c r="C18" s="11">
        <v>36.14</v>
      </c>
      <c r="D18" s="11">
        <v>0.62</v>
      </c>
      <c r="E18" s="12">
        <f t="shared" si="1"/>
        <v>5</v>
      </c>
      <c r="F18" s="13">
        <f t="shared" si="2"/>
        <v>0.0005</v>
      </c>
      <c r="G18" s="13" t="str">
        <f t="shared" si="3"/>
        <v>Normal</v>
      </c>
      <c r="H18" s="13" t="str">
        <f t="shared" si="4"/>
        <v>Evening</v>
      </c>
      <c r="I18" s="13">
        <f t="shared" si="5"/>
        <v>1</v>
      </c>
      <c r="J18" s="14" t="str">
        <f t="shared" si="6"/>
        <v>AC</v>
      </c>
      <c r="K18" s="15">
        <f t="shared" si="7"/>
        <v>18</v>
      </c>
      <c r="M18" s="15">
        <f t="shared" si="8"/>
        <v>0.8567001115</v>
      </c>
    </row>
    <row r="19">
      <c r="A19" s="10">
        <v>42370.2085300926</v>
      </c>
      <c r="B19" s="11">
        <v>0.523166667</v>
      </c>
      <c r="C19" s="11">
        <v>36.14</v>
      </c>
      <c r="D19" s="11">
        <v>0.62</v>
      </c>
      <c r="E19" s="12">
        <f t="shared" si="1"/>
        <v>5</v>
      </c>
      <c r="F19" s="13">
        <f t="shared" si="2"/>
        <v>0.0005</v>
      </c>
      <c r="G19" s="13" t="str">
        <f t="shared" si="3"/>
        <v>Normal</v>
      </c>
      <c r="H19" s="13" t="str">
        <f t="shared" si="4"/>
        <v>Evening</v>
      </c>
      <c r="I19" s="13">
        <f t="shared" si="5"/>
        <v>2</v>
      </c>
      <c r="J19" s="14" t="str">
        <f t="shared" si="6"/>
        <v>Heater</v>
      </c>
      <c r="K19" s="15">
        <f t="shared" si="7"/>
        <v>19</v>
      </c>
      <c r="M19" s="15">
        <f t="shared" si="8"/>
        <v>0.8567001115</v>
      </c>
    </row>
    <row r="20">
      <c r="A20" s="10">
        <v>42370.20854166667</v>
      </c>
      <c r="B20" s="11">
        <v>0.5362</v>
      </c>
      <c r="C20" s="11">
        <v>36.14</v>
      </c>
      <c r="D20" s="11">
        <v>0.62</v>
      </c>
      <c r="E20" s="12">
        <f t="shared" si="1"/>
        <v>5</v>
      </c>
      <c r="F20" s="13">
        <f t="shared" si="2"/>
        <v>0.0005</v>
      </c>
      <c r="G20" s="13" t="str">
        <f t="shared" si="3"/>
        <v>Normal</v>
      </c>
      <c r="H20" s="13" t="str">
        <f t="shared" si="4"/>
        <v>Evening</v>
      </c>
      <c r="I20" s="13">
        <f t="shared" si="5"/>
        <v>3</v>
      </c>
      <c r="J20" s="14" t="str">
        <f t="shared" si="6"/>
        <v>Fridge</v>
      </c>
      <c r="K20" s="15">
        <f t="shared" si="7"/>
        <v>20</v>
      </c>
      <c r="M20" s="15">
        <f t="shared" si="8"/>
        <v>0.8567001115</v>
      </c>
    </row>
    <row r="21">
      <c r="A21" s="10">
        <v>42370.20855324074</v>
      </c>
      <c r="B21" s="11">
        <v>0.53415</v>
      </c>
      <c r="C21" s="11">
        <v>36.14</v>
      </c>
      <c r="D21" s="11">
        <v>0.62</v>
      </c>
      <c r="E21" s="12">
        <f t="shared" si="1"/>
        <v>5</v>
      </c>
      <c r="F21" s="13">
        <f t="shared" si="2"/>
        <v>0.0005</v>
      </c>
      <c r="G21" s="13" t="str">
        <f t="shared" si="3"/>
        <v>Normal</v>
      </c>
      <c r="H21" s="13" t="str">
        <f t="shared" si="4"/>
        <v>Evening</v>
      </c>
      <c r="I21" s="13">
        <f t="shared" si="5"/>
        <v>1</v>
      </c>
      <c r="J21" s="14" t="str">
        <f t="shared" si="6"/>
        <v>AC</v>
      </c>
      <c r="K21" s="15">
        <f t="shared" si="7"/>
        <v>21</v>
      </c>
      <c r="M21" s="15">
        <f t="shared" si="8"/>
        <v>0.8567001115</v>
      </c>
    </row>
    <row r="22">
      <c r="A22" s="10">
        <v>42370.20856481481</v>
      </c>
      <c r="B22" s="11">
        <v>0.533816667</v>
      </c>
      <c r="C22" s="11">
        <v>36.14</v>
      </c>
      <c r="D22" s="11">
        <v>0.62</v>
      </c>
      <c r="E22" s="12">
        <f t="shared" si="1"/>
        <v>5</v>
      </c>
      <c r="F22" s="13">
        <f t="shared" si="2"/>
        <v>0.0005</v>
      </c>
      <c r="G22" s="13" t="str">
        <f t="shared" si="3"/>
        <v>Normal</v>
      </c>
      <c r="H22" s="13" t="str">
        <f t="shared" si="4"/>
        <v>Evening</v>
      </c>
      <c r="I22" s="13">
        <f t="shared" si="5"/>
        <v>2</v>
      </c>
      <c r="J22" s="14" t="str">
        <f t="shared" si="6"/>
        <v>Heater</v>
      </c>
      <c r="K22" s="15">
        <f t="shared" si="7"/>
        <v>22</v>
      </c>
      <c r="M22" s="15">
        <f t="shared" si="8"/>
        <v>0.8567001115</v>
      </c>
    </row>
    <row r="23">
      <c r="A23" s="10">
        <v>42370.20857638889</v>
      </c>
      <c r="B23" s="11">
        <v>0.523633333</v>
      </c>
      <c r="C23" s="11">
        <v>36.14</v>
      </c>
      <c r="D23" s="11">
        <v>0.62</v>
      </c>
      <c r="E23" s="12">
        <f t="shared" si="1"/>
        <v>5</v>
      </c>
      <c r="F23" s="13">
        <f t="shared" si="2"/>
        <v>0.0005</v>
      </c>
      <c r="G23" s="13" t="str">
        <f t="shared" si="3"/>
        <v>Normal</v>
      </c>
      <c r="H23" s="13" t="str">
        <f t="shared" si="4"/>
        <v>Evening</v>
      </c>
      <c r="I23" s="13">
        <f t="shared" si="5"/>
        <v>3</v>
      </c>
      <c r="J23" s="14" t="str">
        <f t="shared" si="6"/>
        <v>Fridge</v>
      </c>
      <c r="K23" s="15">
        <f t="shared" si="7"/>
        <v>23</v>
      </c>
      <c r="M23" s="15">
        <f t="shared" si="8"/>
        <v>0.8567001115</v>
      </c>
    </row>
    <row r="24">
      <c r="A24" s="10">
        <v>42370.20858796296</v>
      </c>
      <c r="B24" s="11">
        <v>0.57725</v>
      </c>
      <c r="C24" s="11">
        <v>36.14</v>
      </c>
      <c r="D24" s="11">
        <v>0.62</v>
      </c>
      <c r="E24" s="12">
        <f t="shared" si="1"/>
        <v>5</v>
      </c>
      <c r="F24" s="13">
        <f t="shared" si="2"/>
        <v>0.0006</v>
      </c>
      <c r="G24" s="13" t="str">
        <f t="shared" si="3"/>
        <v>Normal</v>
      </c>
      <c r="H24" s="13" t="str">
        <f t="shared" si="4"/>
        <v>Night</v>
      </c>
      <c r="I24" s="13">
        <f t="shared" si="5"/>
        <v>1</v>
      </c>
      <c r="J24" s="14" t="str">
        <f t="shared" si="6"/>
        <v>AC</v>
      </c>
      <c r="K24" s="15">
        <f t="shared" si="7"/>
        <v>0</v>
      </c>
      <c r="M24" s="15">
        <f t="shared" si="8"/>
        <v>0.8567001115</v>
      </c>
    </row>
    <row r="25">
      <c r="A25" s="10">
        <v>42370.208599537036</v>
      </c>
      <c r="B25" s="11">
        <v>0.679566667</v>
      </c>
      <c r="C25" s="11">
        <v>36.14</v>
      </c>
      <c r="D25" s="11">
        <v>0.62</v>
      </c>
      <c r="E25" s="12">
        <f t="shared" si="1"/>
        <v>5</v>
      </c>
      <c r="F25" s="13">
        <f t="shared" si="2"/>
        <v>0.0007</v>
      </c>
      <c r="G25" s="13" t="str">
        <f t="shared" si="3"/>
        <v>Normal</v>
      </c>
      <c r="H25" s="13" t="str">
        <f t="shared" si="4"/>
        <v>Night</v>
      </c>
      <c r="I25" s="13">
        <f t="shared" si="5"/>
        <v>2</v>
      </c>
      <c r="J25" s="14" t="str">
        <f t="shared" si="6"/>
        <v>Heater</v>
      </c>
      <c r="K25" s="15">
        <f t="shared" si="7"/>
        <v>1</v>
      </c>
      <c r="M25" s="15">
        <f t="shared" si="8"/>
        <v>0.8567001115</v>
      </c>
    </row>
    <row r="26">
      <c r="A26" s="10">
        <v>42370.20861111111</v>
      </c>
      <c r="B26" s="11">
        <v>1.293166667</v>
      </c>
      <c r="C26" s="11">
        <v>36.14</v>
      </c>
      <c r="D26" s="11">
        <v>0.62</v>
      </c>
      <c r="E26" s="12">
        <f t="shared" si="1"/>
        <v>5</v>
      </c>
      <c r="F26" s="13">
        <f t="shared" si="2"/>
        <v>0.0013</v>
      </c>
      <c r="G26" s="13" t="str">
        <f t="shared" si="3"/>
        <v>High</v>
      </c>
      <c r="H26" s="13" t="str">
        <f t="shared" si="4"/>
        <v>Night</v>
      </c>
      <c r="I26" s="13">
        <f t="shared" si="5"/>
        <v>3</v>
      </c>
      <c r="J26" s="14" t="str">
        <f t="shared" si="6"/>
        <v>Fridge</v>
      </c>
      <c r="K26" s="15">
        <f t="shared" si="7"/>
        <v>2</v>
      </c>
      <c r="M26" s="15">
        <f t="shared" si="8"/>
        <v>0.8567001115</v>
      </c>
    </row>
    <row r="27">
      <c r="A27" s="10">
        <v>42370.20862268518</v>
      </c>
      <c r="B27" s="11">
        <v>1.546666667</v>
      </c>
      <c r="C27" s="11">
        <v>36.14</v>
      </c>
      <c r="D27" s="11">
        <v>0.62</v>
      </c>
      <c r="E27" s="12">
        <f t="shared" si="1"/>
        <v>5</v>
      </c>
      <c r="F27" s="13">
        <f t="shared" si="2"/>
        <v>0.0015</v>
      </c>
      <c r="G27" s="13" t="str">
        <f t="shared" si="3"/>
        <v>High</v>
      </c>
      <c r="H27" s="13" t="str">
        <f t="shared" si="4"/>
        <v>Night</v>
      </c>
      <c r="I27" s="13">
        <f t="shared" si="5"/>
        <v>1</v>
      </c>
      <c r="J27" s="14" t="str">
        <f t="shared" si="6"/>
        <v>AC</v>
      </c>
      <c r="K27" s="15">
        <f t="shared" si="7"/>
        <v>3</v>
      </c>
      <c r="M27" s="15">
        <f t="shared" si="8"/>
        <v>0.8567001115</v>
      </c>
    </row>
    <row r="28">
      <c r="A28" s="10">
        <v>42370.20863425926</v>
      </c>
      <c r="B28" s="11">
        <v>1.82235</v>
      </c>
      <c r="C28" s="11">
        <v>36.14</v>
      </c>
      <c r="D28" s="11">
        <v>0.62</v>
      </c>
      <c r="E28" s="12">
        <f t="shared" si="1"/>
        <v>5</v>
      </c>
      <c r="F28" s="13">
        <f t="shared" si="2"/>
        <v>0.0018</v>
      </c>
      <c r="G28" s="13" t="str">
        <f t="shared" si="3"/>
        <v>High</v>
      </c>
      <c r="H28" s="13" t="str">
        <f t="shared" si="4"/>
        <v>Night</v>
      </c>
      <c r="I28" s="13">
        <f t="shared" si="5"/>
        <v>2</v>
      </c>
      <c r="J28" s="14" t="str">
        <f t="shared" si="6"/>
        <v>Heater</v>
      </c>
      <c r="K28" s="15">
        <f t="shared" si="7"/>
        <v>4</v>
      </c>
      <c r="M28" s="15">
        <f t="shared" si="8"/>
        <v>0.8567001115</v>
      </c>
    </row>
    <row r="29">
      <c r="A29" s="10">
        <v>42370.208645833336</v>
      </c>
      <c r="B29" s="11">
        <v>2.642516667</v>
      </c>
      <c r="C29" s="11">
        <v>36.14</v>
      </c>
      <c r="D29" s="11">
        <v>0.62</v>
      </c>
      <c r="E29" s="12">
        <f t="shared" si="1"/>
        <v>5</v>
      </c>
      <c r="F29" s="13">
        <f t="shared" si="2"/>
        <v>0.0026</v>
      </c>
      <c r="G29" s="13" t="str">
        <f t="shared" si="3"/>
        <v>High</v>
      </c>
      <c r="H29" s="13" t="str">
        <f t="shared" si="4"/>
        <v>Night</v>
      </c>
      <c r="I29" s="13">
        <f t="shared" si="5"/>
        <v>3</v>
      </c>
      <c r="J29" s="14" t="str">
        <f t="shared" si="6"/>
        <v>Fridge</v>
      </c>
      <c r="K29" s="15">
        <f t="shared" si="7"/>
        <v>5</v>
      </c>
      <c r="M29" s="15">
        <f t="shared" si="8"/>
        <v>0.8567001115</v>
      </c>
    </row>
    <row r="30">
      <c r="A30" s="10">
        <v>42370.208657407406</v>
      </c>
      <c r="B30" s="11">
        <v>1.73935</v>
      </c>
      <c r="C30" s="11">
        <v>36.14</v>
      </c>
      <c r="D30" s="11">
        <v>0.62</v>
      </c>
      <c r="E30" s="12">
        <f t="shared" si="1"/>
        <v>5</v>
      </c>
      <c r="F30" s="13">
        <f t="shared" si="2"/>
        <v>0.0017</v>
      </c>
      <c r="G30" s="13" t="str">
        <f t="shared" si="3"/>
        <v>High</v>
      </c>
      <c r="H30" s="13" t="str">
        <f t="shared" si="4"/>
        <v>Morning</v>
      </c>
      <c r="I30" s="13">
        <f t="shared" si="5"/>
        <v>1</v>
      </c>
      <c r="J30" s="14" t="str">
        <f t="shared" si="6"/>
        <v>AC</v>
      </c>
      <c r="K30" s="15">
        <f t="shared" si="7"/>
        <v>6</v>
      </c>
      <c r="M30" s="15">
        <f t="shared" si="8"/>
        <v>0.8567001115</v>
      </c>
    </row>
    <row r="31">
      <c r="A31" s="10">
        <v>42370.20866898148</v>
      </c>
      <c r="B31" s="11">
        <v>1.1872</v>
      </c>
      <c r="C31" s="11">
        <v>36.14</v>
      </c>
      <c r="D31" s="11">
        <v>0.62</v>
      </c>
      <c r="E31" s="12">
        <f t="shared" si="1"/>
        <v>5</v>
      </c>
      <c r="F31" s="13">
        <f t="shared" si="2"/>
        <v>0.0012</v>
      </c>
      <c r="G31" s="13" t="str">
        <f t="shared" si="3"/>
        <v>High</v>
      </c>
      <c r="H31" s="13" t="str">
        <f t="shared" si="4"/>
        <v>Morning</v>
      </c>
      <c r="I31" s="13">
        <f t="shared" si="5"/>
        <v>2</v>
      </c>
      <c r="J31" s="14" t="str">
        <f t="shared" si="6"/>
        <v>Heater</v>
      </c>
      <c r="K31" s="15">
        <f t="shared" si="7"/>
        <v>7</v>
      </c>
      <c r="M31" s="15">
        <f t="shared" si="8"/>
        <v>0.8567001115</v>
      </c>
    </row>
    <row r="32">
      <c r="A32" s="10">
        <v>42370.20868055556</v>
      </c>
      <c r="B32" s="11">
        <v>1.19095</v>
      </c>
      <c r="C32" s="11">
        <v>36.14</v>
      </c>
      <c r="D32" s="11">
        <v>0.62</v>
      </c>
      <c r="E32" s="12">
        <f t="shared" si="1"/>
        <v>5</v>
      </c>
      <c r="F32" s="13">
        <f t="shared" si="2"/>
        <v>0.0012</v>
      </c>
      <c r="G32" s="13" t="str">
        <f t="shared" si="3"/>
        <v>High</v>
      </c>
      <c r="H32" s="13" t="str">
        <f t="shared" si="4"/>
        <v>Morning</v>
      </c>
      <c r="I32" s="13">
        <f t="shared" si="5"/>
        <v>3</v>
      </c>
      <c r="J32" s="14" t="str">
        <f t="shared" si="6"/>
        <v>Fridge</v>
      </c>
      <c r="K32" s="15">
        <f t="shared" si="7"/>
        <v>8</v>
      </c>
      <c r="M32" s="15">
        <f t="shared" si="8"/>
        <v>0.8567001115</v>
      </c>
    </row>
    <row r="33">
      <c r="A33" s="10">
        <v>42370.20869212963</v>
      </c>
      <c r="B33" s="11">
        <v>0.833083333</v>
      </c>
      <c r="C33" s="11">
        <v>36.14</v>
      </c>
      <c r="D33" s="11">
        <v>0.62</v>
      </c>
      <c r="E33" s="12">
        <f t="shared" si="1"/>
        <v>5</v>
      </c>
      <c r="F33" s="13">
        <f t="shared" si="2"/>
        <v>0.0008</v>
      </c>
      <c r="G33" s="13" t="str">
        <f t="shared" si="3"/>
        <v>Normal</v>
      </c>
      <c r="H33" s="13" t="str">
        <f t="shared" si="4"/>
        <v>Morning</v>
      </c>
      <c r="I33" s="13">
        <f t="shared" si="5"/>
        <v>1</v>
      </c>
      <c r="J33" s="14" t="str">
        <f t="shared" si="6"/>
        <v>AC</v>
      </c>
      <c r="K33" s="15">
        <f t="shared" si="7"/>
        <v>9</v>
      </c>
      <c r="M33" s="15">
        <f t="shared" si="8"/>
        <v>0.8567001115</v>
      </c>
    </row>
    <row r="34">
      <c r="A34" s="10">
        <v>42370.208703703705</v>
      </c>
      <c r="B34" s="11">
        <v>0.834283333</v>
      </c>
      <c r="C34" s="11">
        <v>36.14</v>
      </c>
      <c r="D34" s="11">
        <v>0.62</v>
      </c>
      <c r="E34" s="12">
        <f t="shared" si="1"/>
        <v>5</v>
      </c>
      <c r="F34" s="13">
        <f t="shared" si="2"/>
        <v>0.0008</v>
      </c>
      <c r="G34" s="13" t="str">
        <f t="shared" si="3"/>
        <v>Normal</v>
      </c>
      <c r="H34" s="13" t="str">
        <f t="shared" si="4"/>
        <v>Morning</v>
      </c>
      <c r="I34" s="13">
        <f t="shared" si="5"/>
        <v>2</v>
      </c>
      <c r="J34" s="14" t="str">
        <f t="shared" si="6"/>
        <v>Heater</v>
      </c>
      <c r="K34" s="15">
        <f t="shared" si="7"/>
        <v>10</v>
      </c>
      <c r="M34" s="15">
        <f t="shared" si="8"/>
        <v>0.8567001115</v>
      </c>
    </row>
    <row r="35">
      <c r="A35" s="10">
        <v>42370.20871527778</v>
      </c>
      <c r="B35" s="11">
        <v>0.840433333</v>
      </c>
      <c r="C35" s="11">
        <v>36.14</v>
      </c>
      <c r="D35" s="11">
        <v>0.62</v>
      </c>
      <c r="E35" s="12">
        <f t="shared" si="1"/>
        <v>5</v>
      </c>
      <c r="F35" s="13">
        <f t="shared" si="2"/>
        <v>0.0008</v>
      </c>
      <c r="G35" s="13" t="str">
        <f t="shared" si="3"/>
        <v>Normal</v>
      </c>
      <c r="H35" s="13" t="str">
        <f t="shared" si="4"/>
        <v>Morning</v>
      </c>
      <c r="I35" s="13">
        <f t="shared" si="5"/>
        <v>3</v>
      </c>
      <c r="J35" s="14" t="str">
        <f t="shared" si="6"/>
        <v>Fridge</v>
      </c>
      <c r="K35" s="15">
        <f t="shared" si="7"/>
        <v>11</v>
      </c>
      <c r="M35" s="15">
        <f t="shared" si="8"/>
        <v>0.8567001115</v>
      </c>
    </row>
    <row r="36">
      <c r="A36" s="10">
        <v>42370.20872685185</v>
      </c>
      <c r="B36" s="11">
        <v>0.869733333</v>
      </c>
      <c r="C36" s="11">
        <v>36.14</v>
      </c>
      <c r="D36" s="11">
        <v>0.62</v>
      </c>
      <c r="E36" s="12">
        <f t="shared" si="1"/>
        <v>5</v>
      </c>
      <c r="F36" s="13">
        <f t="shared" si="2"/>
        <v>0.0009</v>
      </c>
      <c r="G36" s="13" t="str">
        <f t="shared" si="3"/>
        <v>High</v>
      </c>
      <c r="H36" s="13" t="str">
        <f t="shared" si="4"/>
        <v>Afternoon</v>
      </c>
      <c r="I36" s="13">
        <f t="shared" si="5"/>
        <v>1</v>
      </c>
      <c r="J36" s="14" t="str">
        <f t="shared" si="6"/>
        <v>AC</v>
      </c>
      <c r="K36" s="15">
        <f t="shared" si="7"/>
        <v>12</v>
      </c>
      <c r="M36" s="15">
        <f t="shared" si="8"/>
        <v>0.8567001115</v>
      </c>
    </row>
    <row r="37">
      <c r="A37" s="10">
        <v>42370.20873842592</v>
      </c>
      <c r="B37" s="11">
        <v>0.853883333</v>
      </c>
      <c r="C37" s="11">
        <v>36.14</v>
      </c>
      <c r="D37" s="11">
        <v>0.62</v>
      </c>
      <c r="E37" s="12">
        <f t="shared" si="1"/>
        <v>5</v>
      </c>
      <c r="F37" s="13">
        <f t="shared" si="2"/>
        <v>0.0009</v>
      </c>
      <c r="G37" s="13" t="str">
        <f t="shared" si="3"/>
        <v>Normal</v>
      </c>
      <c r="H37" s="13" t="str">
        <f t="shared" si="4"/>
        <v>Afternoon</v>
      </c>
      <c r="I37" s="13">
        <f t="shared" si="5"/>
        <v>2</v>
      </c>
      <c r="J37" s="14" t="str">
        <f t="shared" si="6"/>
        <v>Heater</v>
      </c>
      <c r="K37" s="15">
        <f t="shared" si="7"/>
        <v>13</v>
      </c>
      <c r="M37" s="15">
        <f t="shared" si="8"/>
        <v>0.8567001115</v>
      </c>
    </row>
    <row r="38">
      <c r="A38" s="10">
        <v>42370.208750000005</v>
      </c>
      <c r="B38" s="11">
        <v>0.8491</v>
      </c>
      <c r="C38" s="11">
        <v>36.14</v>
      </c>
      <c r="D38" s="11">
        <v>0.62</v>
      </c>
      <c r="E38" s="12">
        <f t="shared" si="1"/>
        <v>5</v>
      </c>
      <c r="F38" s="13">
        <f t="shared" si="2"/>
        <v>0.0008</v>
      </c>
      <c r="G38" s="13" t="str">
        <f t="shared" si="3"/>
        <v>Normal</v>
      </c>
      <c r="H38" s="13" t="str">
        <f t="shared" si="4"/>
        <v>Afternoon</v>
      </c>
      <c r="I38" s="13">
        <f t="shared" si="5"/>
        <v>3</v>
      </c>
      <c r="J38" s="14" t="str">
        <f t="shared" si="6"/>
        <v>Fridge</v>
      </c>
      <c r="K38" s="15">
        <f t="shared" si="7"/>
        <v>14</v>
      </c>
      <c r="M38" s="15">
        <f t="shared" si="8"/>
        <v>0.8567001115</v>
      </c>
    </row>
    <row r="39">
      <c r="A39" s="10">
        <v>42370.208761574075</v>
      </c>
      <c r="B39" s="11">
        <v>1.013333333</v>
      </c>
      <c r="C39" s="11">
        <v>36.14</v>
      </c>
      <c r="D39" s="11">
        <v>0.62</v>
      </c>
      <c r="E39" s="12">
        <f t="shared" si="1"/>
        <v>5</v>
      </c>
      <c r="F39" s="13">
        <f t="shared" si="2"/>
        <v>0.001</v>
      </c>
      <c r="G39" s="13" t="str">
        <f t="shared" si="3"/>
        <v>High</v>
      </c>
      <c r="H39" s="13" t="str">
        <f t="shared" si="4"/>
        <v>Afternoon</v>
      </c>
      <c r="I39" s="13">
        <f t="shared" si="5"/>
        <v>1</v>
      </c>
      <c r="J39" s="14" t="str">
        <f t="shared" si="6"/>
        <v>AC</v>
      </c>
      <c r="K39" s="15">
        <f t="shared" si="7"/>
        <v>15</v>
      </c>
      <c r="M39" s="15">
        <f t="shared" si="8"/>
        <v>0.8567001115</v>
      </c>
    </row>
    <row r="40">
      <c r="A40" s="10">
        <v>42370.208773148144</v>
      </c>
      <c r="B40" s="11">
        <v>1.3159</v>
      </c>
      <c r="C40" s="11">
        <v>36.14</v>
      </c>
      <c r="D40" s="11">
        <v>0.62</v>
      </c>
      <c r="E40" s="12">
        <f t="shared" si="1"/>
        <v>5</v>
      </c>
      <c r="F40" s="13">
        <f t="shared" si="2"/>
        <v>0.0013</v>
      </c>
      <c r="G40" s="13" t="str">
        <f t="shared" si="3"/>
        <v>High</v>
      </c>
      <c r="H40" s="13" t="str">
        <f t="shared" si="4"/>
        <v>Afternoon</v>
      </c>
      <c r="I40" s="13">
        <f t="shared" si="5"/>
        <v>2</v>
      </c>
      <c r="J40" s="14" t="str">
        <f t="shared" si="6"/>
        <v>Heater</v>
      </c>
      <c r="K40" s="15">
        <f t="shared" si="7"/>
        <v>16</v>
      </c>
      <c r="M40" s="15">
        <f t="shared" si="8"/>
        <v>0.8567001115</v>
      </c>
    </row>
    <row r="41">
      <c r="A41" s="10">
        <v>42370.20878472222</v>
      </c>
      <c r="B41" s="11">
        <v>1.654516667</v>
      </c>
      <c r="C41" s="11">
        <v>36.14</v>
      </c>
      <c r="D41" s="11">
        <v>0.62</v>
      </c>
      <c r="E41" s="12">
        <f t="shared" si="1"/>
        <v>5</v>
      </c>
      <c r="F41" s="13">
        <f t="shared" si="2"/>
        <v>0.0017</v>
      </c>
      <c r="G41" s="13" t="str">
        <f t="shared" si="3"/>
        <v>High</v>
      </c>
      <c r="H41" s="13" t="str">
        <f t="shared" si="4"/>
        <v>Afternoon</v>
      </c>
      <c r="I41" s="13">
        <f t="shared" si="5"/>
        <v>3</v>
      </c>
      <c r="J41" s="14" t="str">
        <f t="shared" si="6"/>
        <v>Fridge</v>
      </c>
      <c r="K41" s="15">
        <f t="shared" si="7"/>
        <v>17</v>
      </c>
      <c r="M41" s="15">
        <f t="shared" si="8"/>
        <v>0.8567001115</v>
      </c>
    </row>
    <row r="42">
      <c r="A42" s="10">
        <v>42370.2087962963</v>
      </c>
      <c r="B42" s="11">
        <v>1.582083333</v>
      </c>
      <c r="C42" s="11">
        <v>36.14</v>
      </c>
      <c r="D42" s="11">
        <v>0.62</v>
      </c>
      <c r="E42" s="12">
        <f t="shared" si="1"/>
        <v>5</v>
      </c>
      <c r="F42" s="13">
        <f t="shared" si="2"/>
        <v>0.0016</v>
      </c>
      <c r="G42" s="13" t="str">
        <f t="shared" si="3"/>
        <v>High</v>
      </c>
      <c r="H42" s="13" t="str">
        <f t="shared" si="4"/>
        <v>Evening</v>
      </c>
      <c r="I42" s="13">
        <f t="shared" si="5"/>
        <v>1</v>
      </c>
      <c r="J42" s="14" t="str">
        <f t="shared" si="6"/>
        <v>AC</v>
      </c>
      <c r="K42" s="15">
        <f t="shared" si="7"/>
        <v>18</v>
      </c>
      <c r="M42" s="15">
        <f t="shared" si="8"/>
        <v>0.8567001115</v>
      </c>
    </row>
    <row r="43">
      <c r="A43" s="10">
        <v>42370.20880787037</v>
      </c>
      <c r="B43" s="11">
        <v>1.440416667</v>
      </c>
      <c r="C43" s="11">
        <v>36.14</v>
      </c>
      <c r="D43" s="11">
        <v>0.62</v>
      </c>
      <c r="E43" s="12">
        <f t="shared" si="1"/>
        <v>5</v>
      </c>
      <c r="F43" s="13">
        <f t="shared" si="2"/>
        <v>0.0014</v>
      </c>
      <c r="G43" s="13" t="str">
        <f t="shared" si="3"/>
        <v>High</v>
      </c>
      <c r="H43" s="13" t="str">
        <f t="shared" si="4"/>
        <v>Evening</v>
      </c>
      <c r="I43" s="13">
        <f t="shared" si="5"/>
        <v>2</v>
      </c>
      <c r="J43" s="14" t="str">
        <f t="shared" si="6"/>
        <v>Heater</v>
      </c>
      <c r="K43" s="15">
        <f t="shared" si="7"/>
        <v>19</v>
      </c>
      <c r="M43" s="15">
        <f t="shared" si="8"/>
        <v>0.8567001115</v>
      </c>
    </row>
    <row r="44">
      <c r="A44" s="10">
        <v>42370.208819444444</v>
      </c>
      <c r="B44" s="11">
        <v>1.42185</v>
      </c>
      <c r="C44" s="11">
        <v>36.14</v>
      </c>
      <c r="D44" s="11">
        <v>0.62</v>
      </c>
      <c r="E44" s="12">
        <f t="shared" si="1"/>
        <v>5</v>
      </c>
      <c r="F44" s="13">
        <f t="shared" si="2"/>
        <v>0.0014</v>
      </c>
      <c r="G44" s="13" t="str">
        <f t="shared" si="3"/>
        <v>High</v>
      </c>
      <c r="H44" s="13" t="str">
        <f t="shared" si="4"/>
        <v>Evening</v>
      </c>
      <c r="I44" s="13">
        <f t="shared" si="5"/>
        <v>3</v>
      </c>
      <c r="J44" s="14" t="str">
        <f t="shared" si="6"/>
        <v>Fridge</v>
      </c>
      <c r="K44" s="15">
        <f t="shared" si="7"/>
        <v>20</v>
      </c>
      <c r="M44" s="15">
        <f t="shared" si="8"/>
        <v>0.8567001115</v>
      </c>
    </row>
    <row r="45">
      <c r="A45" s="10">
        <v>42370.20883101852</v>
      </c>
      <c r="B45" s="11">
        <v>0.7322</v>
      </c>
      <c r="C45" s="11">
        <v>36.14</v>
      </c>
      <c r="D45" s="11">
        <v>0.62</v>
      </c>
      <c r="E45" s="12">
        <f t="shared" si="1"/>
        <v>5</v>
      </c>
      <c r="F45" s="13">
        <f t="shared" si="2"/>
        <v>0.0007</v>
      </c>
      <c r="G45" s="13" t="str">
        <f t="shared" si="3"/>
        <v>Normal</v>
      </c>
      <c r="H45" s="13" t="str">
        <f t="shared" si="4"/>
        <v>Evening</v>
      </c>
      <c r="I45" s="13">
        <f t="shared" si="5"/>
        <v>1</v>
      </c>
      <c r="J45" s="14" t="str">
        <f t="shared" si="6"/>
        <v>AC</v>
      </c>
      <c r="K45" s="15">
        <f t="shared" si="7"/>
        <v>21</v>
      </c>
      <c r="M45" s="15">
        <f t="shared" si="8"/>
        <v>0.8567001115</v>
      </c>
    </row>
    <row r="46">
      <c r="A46" s="10">
        <v>42370.20884259259</v>
      </c>
      <c r="B46" s="11">
        <v>0.523216667</v>
      </c>
      <c r="C46" s="11">
        <v>36.14</v>
      </c>
      <c r="D46" s="11">
        <v>0.62</v>
      </c>
      <c r="E46" s="12">
        <f t="shared" si="1"/>
        <v>5</v>
      </c>
      <c r="F46" s="13">
        <f t="shared" si="2"/>
        <v>0.0005</v>
      </c>
      <c r="G46" s="13" t="str">
        <f t="shared" si="3"/>
        <v>Normal</v>
      </c>
      <c r="H46" s="13" t="str">
        <f t="shared" si="4"/>
        <v>Evening</v>
      </c>
      <c r="I46" s="13">
        <f t="shared" si="5"/>
        <v>2</v>
      </c>
      <c r="J46" s="14" t="str">
        <f t="shared" si="6"/>
        <v>Heater</v>
      </c>
      <c r="K46" s="15">
        <f t="shared" si="7"/>
        <v>22</v>
      </c>
      <c r="M46" s="15">
        <f t="shared" si="8"/>
        <v>0.8567001115</v>
      </c>
    </row>
    <row r="47">
      <c r="A47" s="10">
        <v>42370.20885416667</v>
      </c>
      <c r="B47" s="11">
        <v>0.50875</v>
      </c>
      <c r="C47" s="11">
        <v>36.14</v>
      </c>
      <c r="D47" s="11">
        <v>0.62</v>
      </c>
      <c r="E47" s="12">
        <f t="shared" si="1"/>
        <v>5</v>
      </c>
      <c r="F47" s="13">
        <f t="shared" si="2"/>
        <v>0.0005</v>
      </c>
      <c r="G47" s="13" t="str">
        <f t="shared" si="3"/>
        <v>Normal</v>
      </c>
      <c r="H47" s="13" t="str">
        <f t="shared" si="4"/>
        <v>Evening</v>
      </c>
      <c r="I47" s="13">
        <f t="shared" si="5"/>
        <v>3</v>
      </c>
      <c r="J47" s="14" t="str">
        <f t="shared" si="6"/>
        <v>Fridge</v>
      </c>
      <c r="K47" s="15">
        <f t="shared" si="7"/>
        <v>23</v>
      </c>
      <c r="M47" s="15">
        <f t="shared" si="8"/>
        <v>0.8567001115</v>
      </c>
    </row>
    <row r="48">
      <c r="A48" s="10">
        <v>42370.208865740744</v>
      </c>
      <c r="B48" s="11">
        <v>0.613583333</v>
      </c>
      <c r="C48" s="11">
        <v>36.14</v>
      </c>
      <c r="D48" s="11">
        <v>0.62</v>
      </c>
      <c r="E48" s="12">
        <f t="shared" si="1"/>
        <v>5</v>
      </c>
      <c r="F48" s="13">
        <f t="shared" si="2"/>
        <v>0.0006</v>
      </c>
      <c r="G48" s="13" t="str">
        <f t="shared" si="3"/>
        <v>Normal</v>
      </c>
      <c r="H48" s="13" t="str">
        <f t="shared" si="4"/>
        <v>Night</v>
      </c>
      <c r="I48" s="13">
        <f t="shared" si="5"/>
        <v>1</v>
      </c>
      <c r="J48" s="14" t="str">
        <f t="shared" si="6"/>
        <v>AC</v>
      </c>
      <c r="K48" s="15">
        <f t="shared" si="7"/>
        <v>0</v>
      </c>
      <c r="M48" s="15">
        <f t="shared" si="8"/>
        <v>0.8567001115</v>
      </c>
    </row>
    <row r="49">
      <c r="A49" s="10">
        <v>42370.20887731481</v>
      </c>
      <c r="B49" s="11">
        <v>0.917666667</v>
      </c>
      <c r="C49" s="11">
        <v>36.14</v>
      </c>
      <c r="D49" s="11">
        <v>0.62</v>
      </c>
      <c r="E49" s="12">
        <f t="shared" si="1"/>
        <v>5</v>
      </c>
      <c r="F49" s="13">
        <f t="shared" si="2"/>
        <v>0.0009</v>
      </c>
      <c r="G49" s="13" t="str">
        <f t="shared" si="3"/>
        <v>High</v>
      </c>
      <c r="H49" s="13" t="str">
        <f t="shared" si="4"/>
        <v>Night</v>
      </c>
      <c r="I49" s="13">
        <f t="shared" si="5"/>
        <v>2</v>
      </c>
      <c r="J49" s="14" t="str">
        <f t="shared" si="6"/>
        <v>Heater</v>
      </c>
      <c r="K49" s="15">
        <f t="shared" si="7"/>
        <v>1</v>
      </c>
      <c r="M49" s="15">
        <f t="shared" si="8"/>
        <v>0.8567001115</v>
      </c>
    </row>
    <row r="50">
      <c r="A50" s="10">
        <v>42370.20888888889</v>
      </c>
      <c r="B50" s="11">
        <v>0.9594</v>
      </c>
      <c r="C50" s="11">
        <v>36.14</v>
      </c>
      <c r="D50" s="11">
        <v>0.62</v>
      </c>
      <c r="E50" s="12">
        <f t="shared" si="1"/>
        <v>5</v>
      </c>
      <c r="F50" s="13">
        <f t="shared" si="2"/>
        <v>0.001</v>
      </c>
      <c r="G50" s="13" t="str">
        <f t="shared" si="3"/>
        <v>High</v>
      </c>
      <c r="H50" s="13" t="str">
        <f t="shared" si="4"/>
        <v>Night</v>
      </c>
      <c r="I50" s="13">
        <f t="shared" si="5"/>
        <v>3</v>
      </c>
      <c r="J50" s="14" t="str">
        <f t="shared" si="6"/>
        <v>Fridge</v>
      </c>
      <c r="K50" s="15">
        <f t="shared" si="7"/>
        <v>2</v>
      </c>
      <c r="M50" s="15">
        <f t="shared" si="8"/>
        <v>0.8567001115</v>
      </c>
    </row>
    <row r="51">
      <c r="A51" s="10">
        <v>42370.20890046297</v>
      </c>
      <c r="B51" s="11">
        <v>0.918633333</v>
      </c>
      <c r="C51" s="11">
        <v>36.14</v>
      </c>
      <c r="D51" s="11">
        <v>0.62</v>
      </c>
      <c r="E51" s="12">
        <f t="shared" si="1"/>
        <v>5</v>
      </c>
      <c r="F51" s="13">
        <f t="shared" si="2"/>
        <v>0.0009</v>
      </c>
      <c r="G51" s="13" t="str">
        <f t="shared" si="3"/>
        <v>High</v>
      </c>
      <c r="H51" s="13" t="str">
        <f t="shared" si="4"/>
        <v>Night</v>
      </c>
      <c r="I51" s="13">
        <f t="shared" si="5"/>
        <v>1</v>
      </c>
      <c r="J51" s="14" t="str">
        <f t="shared" si="6"/>
        <v>AC</v>
      </c>
      <c r="K51" s="15">
        <f t="shared" si="7"/>
        <v>3</v>
      </c>
      <c r="M51" s="15">
        <f t="shared" si="8"/>
        <v>0.8567001115</v>
      </c>
    </row>
    <row r="52">
      <c r="A52" s="10">
        <v>42370.20891203704</v>
      </c>
      <c r="B52" s="11">
        <v>0.837</v>
      </c>
      <c r="C52" s="11">
        <v>36.14</v>
      </c>
      <c r="D52" s="11">
        <v>0.62</v>
      </c>
      <c r="E52" s="12">
        <f t="shared" si="1"/>
        <v>5</v>
      </c>
      <c r="F52" s="13">
        <f t="shared" si="2"/>
        <v>0.0008</v>
      </c>
      <c r="G52" s="13" t="str">
        <f t="shared" si="3"/>
        <v>Normal</v>
      </c>
      <c r="H52" s="13" t="str">
        <f t="shared" si="4"/>
        <v>Night</v>
      </c>
      <c r="I52" s="13">
        <f t="shared" si="5"/>
        <v>2</v>
      </c>
      <c r="J52" s="14" t="str">
        <f t="shared" si="6"/>
        <v>Heater</v>
      </c>
      <c r="K52" s="15">
        <f t="shared" si="7"/>
        <v>4</v>
      </c>
      <c r="M52" s="15">
        <f t="shared" si="8"/>
        <v>0.8567001115</v>
      </c>
    </row>
    <row r="53">
      <c r="A53" s="10">
        <v>42370.208923611106</v>
      </c>
      <c r="B53" s="11">
        <v>0.494866667</v>
      </c>
      <c r="C53" s="11">
        <v>36.14</v>
      </c>
      <c r="D53" s="11">
        <v>0.62</v>
      </c>
      <c r="E53" s="12">
        <f t="shared" si="1"/>
        <v>5</v>
      </c>
      <c r="F53" s="13">
        <f t="shared" si="2"/>
        <v>0.0005</v>
      </c>
      <c r="G53" s="13" t="str">
        <f t="shared" si="3"/>
        <v>Normal</v>
      </c>
      <c r="H53" s="13" t="str">
        <f t="shared" si="4"/>
        <v>Night</v>
      </c>
      <c r="I53" s="13">
        <f t="shared" si="5"/>
        <v>3</v>
      </c>
      <c r="J53" s="14" t="str">
        <f t="shared" si="6"/>
        <v>Fridge</v>
      </c>
      <c r="K53" s="15">
        <f t="shared" si="7"/>
        <v>5</v>
      </c>
      <c r="M53" s="15">
        <f t="shared" si="8"/>
        <v>0.8567001115</v>
      </c>
    </row>
    <row r="54">
      <c r="A54" s="10">
        <v>42370.20893518519</v>
      </c>
      <c r="B54" s="11">
        <v>0.5872</v>
      </c>
      <c r="C54" s="11">
        <v>36.14</v>
      </c>
      <c r="D54" s="11">
        <v>0.62</v>
      </c>
      <c r="E54" s="12">
        <f t="shared" si="1"/>
        <v>5</v>
      </c>
      <c r="F54" s="13">
        <f t="shared" si="2"/>
        <v>0.0006</v>
      </c>
      <c r="G54" s="13" t="str">
        <f t="shared" si="3"/>
        <v>Normal</v>
      </c>
      <c r="H54" s="13" t="str">
        <f t="shared" si="4"/>
        <v>Morning</v>
      </c>
      <c r="I54" s="13">
        <f t="shared" si="5"/>
        <v>1</v>
      </c>
      <c r="J54" s="14" t="str">
        <f t="shared" si="6"/>
        <v>AC</v>
      </c>
      <c r="K54" s="15">
        <f t="shared" si="7"/>
        <v>6</v>
      </c>
      <c r="M54" s="15">
        <f t="shared" si="8"/>
        <v>0.8567001115</v>
      </c>
    </row>
    <row r="55">
      <c r="A55" s="10">
        <v>42370.20894675926</v>
      </c>
      <c r="B55" s="11">
        <v>0.9307</v>
      </c>
      <c r="C55" s="11">
        <v>36.14</v>
      </c>
      <c r="D55" s="11">
        <v>0.62</v>
      </c>
      <c r="E55" s="12">
        <f t="shared" si="1"/>
        <v>5</v>
      </c>
      <c r="F55" s="13">
        <f t="shared" si="2"/>
        <v>0.0009</v>
      </c>
      <c r="G55" s="13" t="str">
        <f t="shared" si="3"/>
        <v>High</v>
      </c>
      <c r="H55" s="13" t="str">
        <f t="shared" si="4"/>
        <v>Morning</v>
      </c>
      <c r="I55" s="13">
        <f t="shared" si="5"/>
        <v>2</v>
      </c>
      <c r="J55" s="14" t="str">
        <f t="shared" si="6"/>
        <v>Heater</v>
      </c>
      <c r="K55" s="15">
        <f t="shared" si="7"/>
        <v>7</v>
      </c>
      <c r="M55" s="15">
        <f t="shared" si="8"/>
        <v>0.8567001115</v>
      </c>
    </row>
    <row r="56">
      <c r="A56" s="10">
        <v>42370.20895833333</v>
      </c>
      <c r="B56" s="11">
        <v>1.36085</v>
      </c>
      <c r="C56" s="11">
        <v>36.14</v>
      </c>
      <c r="D56" s="11">
        <v>0.62</v>
      </c>
      <c r="E56" s="12">
        <f t="shared" si="1"/>
        <v>5</v>
      </c>
      <c r="F56" s="13">
        <f t="shared" si="2"/>
        <v>0.0014</v>
      </c>
      <c r="G56" s="13" t="str">
        <f t="shared" si="3"/>
        <v>High</v>
      </c>
      <c r="H56" s="13" t="str">
        <f t="shared" si="4"/>
        <v>Morning</v>
      </c>
      <c r="I56" s="13">
        <f t="shared" si="5"/>
        <v>3</v>
      </c>
      <c r="J56" s="14" t="str">
        <f t="shared" si="6"/>
        <v>Fridge</v>
      </c>
      <c r="K56" s="15">
        <f t="shared" si="7"/>
        <v>8</v>
      </c>
      <c r="M56" s="15">
        <f t="shared" si="8"/>
        <v>0.8567001115</v>
      </c>
    </row>
    <row r="57">
      <c r="A57" s="10">
        <v>42370.208969907406</v>
      </c>
      <c r="B57" s="11">
        <v>1.36195</v>
      </c>
      <c r="C57" s="11">
        <v>36.14</v>
      </c>
      <c r="D57" s="11">
        <v>0.62</v>
      </c>
      <c r="E57" s="12">
        <f t="shared" si="1"/>
        <v>5</v>
      </c>
      <c r="F57" s="13">
        <f t="shared" si="2"/>
        <v>0.0014</v>
      </c>
      <c r="G57" s="13" t="str">
        <f t="shared" si="3"/>
        <v>High</v>
      </c>
      <c r="H57" s="13" t="str">
        <f t="shared" si="4"/>
        <v>Morning</v>
      </c>
      <c r="I57" s="13">
        <f t="shared" si="5"/>
        <v>1</v>
      </c>
      <c r="J57" s="14" t="str">
        <f t="shared" si="6"/>
        <v>AC</v>
      </c>
      <c r="K57" s="15">
        <f t="shared" si="7"/>
        <v>9</v>
      </c>
      <c r="M57" s="15">
        <f t="shared" si="8"/>
        <v>0.8567001115</v>
      </c>
    </row>
    <row r="58">
      <c r="A58" s="10">
        <v>42370.20898148148</v>
      </c>
      <c r="B58" s="11">
        <v>1.149316667</v>
      </c>
      <c r="C58" s="11">
        <v>36.14</v>
      </c>
      <c r="D58" s="11">
        <v>0.62</v>
      </c>
      <c r="E58" s="12">
        <f t="shared" si="1"/>
        <v>5</v>
      </c>
      <c r="F58" s="13">
        <f t="shared" si="2"/>
        <v>0.0011</v>
      </c>
      <c r="G58" s="13" t="str">
        <f t="shared" si="3"/>
        <v>High</v>
      </c>
      <c r="H58" s="13" t="str">
        <f t="shared" si="4"/>
        <v>Morning</v>
      </c>
      <c r="I58" s="13">
        <f t="shared" si="5"/>
        <v>2</v>
      </c>
      <c r="J58" s="14" t="str">
        <f t="shared" si="6"/>
        <v>Heater</v>
      </c>
      <c r="K58" s="15">
        <f t="shared" si="7"/>
        <v>10</v>
      </c>
      <c r="M58" s="15">
        <f t="shared" si="8"/>
        <v>0.8567001115</v>
      </c>
    </row>
    <row r="59">
      <c r="A59" s="10">
        <v>42370.20899305555</v>
      </c>
      <c r="B59" s="11">
        <v>1.032816667</v>
      </c>
      <c r="C59" s="11">
        <v>36.14</v>
      </c>
      <c r="D59" s="11">
        <v>0.62</v>
      </c>
      <c r="E59" s="12">
        <f t="shared" si="1"/>
        <v>5</v>
      </c>
      <c r="F59" s="13">
        <f t="shared" si="2"/>
        <v>0.001</v>
      </c>
      <c r="G59" s="13" t="str">
        <f t="shared" si="3"/>
        <v>High</v>
      </c>
      <c r="H59" s="13" t="str">
        <f t="shared" si="4"/>
        <v>Morning</v>
      </c>
      <c r="I59" s="13">
        <f t="shared" si="5"/>
        <v>3</v>
      </c>
      <c r="J59" s="14" t="str">
        <f t="shared" si="6"/>
        <v>Fridge</v>
      </c>
      <c r="K59" s="15">
        <f t="shared" si="7"/>
        <v>11</v>
      </c>
      <c r="M59" s="15">
        <f t="shared" si="8"/>
        <v>0.8567001115</v>
      </c>
    </row>
    <row r="60">
      <c r="A60" s="10">
        <v>42370.20900462963</v>
      </c>
      <c r="B60" s="11">
        <v>0.7142</v>
      </c>
      <c r="C60" s="11">
        <v>35.87</v>
      </c>
      <c r="D60" s="11">
        <v>0.61</v>
      </c>
      <c r="E60" s="12">
        <f t="shared" si="1"/>
        <v>5</v>
      </c>
      <c r="F60" s="13">
        <f t="shared" si="2"/>
        <v>0.0007</v>
      </c>
      <c r="G60" s="13" t="str">
        <f t="shared" si="3"/>
        <v>Normal</v>
      </c>
      <c r="H60" s="13" t="str">
        <f t="shared" si="4"/>
        <v>Afternoon</v>
      </c>
      <c r="I60" s="13">
        <f t="shared" si="5"/>
        <v>1</v>
      </c>
      <c r="J60" s="14" t="str">
        <f t="shared" si="6"/>
        <v>AC</v>
      </c>
      <c r="K60" s="15">
        <f t="shared" si="7"/>
        <v>12</v>
      </c>
      <c r="M60" s="15">
        <f t="shared" si="8"/>
        <v>0.8567001115</v>
      </c>
    </row>
    <row r="61">
      <c r="A61" s="10">
        <v>42370.209016203706</v>
      </c>
      <c r="B61" s="11">
        <v>0.497066667</v>
      </c>
      <c r="C61" s="11">
        <v>35.87</v>
      </c>
      <c r="D61" s="11">
        <v>0.61</v>
      </c>
      <c r="E61" s="12">
        <f t="shared" si="1"/>
        <v>5</v>
      </c>
      <c r="F61" s="13">
        <f t="shared" si="2"/>
        <v>0.0005</v>
      </c>
      <c r="G61" s="13" t="str">
        <f t="shared" si="3"/>
        <v>Normal</v>
      </c>
      <c r="H61" s="13" t="str">
        <f t="shared" si="4"/>
        <v>Afternoon</v>
      </c>
      <c r="I61" s="13">
        <f t="shared" si="5"/>
        <v>2</v>
      </c>
      <c r="J61" s="14" t="str">
        <f t="shared" si="6"/>
        <v>Heater</v>
      </c>
      <c r="K61" s="15">
        <f t="shared" si="7"/>
        <v>13</v>
      </c>
      <c r="M61" s="15">
        <f t="shared" si="8"/>
        <v>0.8567001115</v>
      </c>
    </row>
    <row r="62">
      <c r="A62" s="10">
        <v>42370.209027777775</v>
      </c>
      <c r="B62" s="11">
        <v>0.465133333</v>
      </c>
      <c r="C62" s="11">
        <v>35.87</v>
      </c>
      <c r="D62" s="11">
        <v>0.61</v>
      </c>
      <c r="E62" s="12">
        <f t="shared" si="1"/>
        <v>5</v>
      </c>
      <c r="F62" s="13">
        <f t="shared" si="2"/>
        <v>0.0005</v>
      </c>
      <c r="G62" s="13" t="str">
        <f t="shared" si="3"/>
        <v>Normal</v>
      </c>
      <c r="H62" s="13" t="str">
        <f t="shared" si="4"/>
        <v>Afternoon</v>
      </c>
      <c r="I62" s="13">
        <f t="shared" si="5"/>
        <v>3</v>
      </c>
      <c r="J62" s="14" t="str">
        <f t="shared" si="6"/>
        <v>Fridge</v>
      </c>
      <c r="K62" s="15">
        <f t="shared" si="7"/>
        <v>14</v>
      </c>
      <c r="M62" s="15">
        <f t="shared" si="8"/>
        <v>0.8567001115</v>
      </c>
    </row>
    <row r="63">
      <c r="A63" s="10">
        <v>42370.20903935185</v>
      </c>
      <c r="B63" s="11">
        <v>0.512933333</v>
      </c>
      <c r="C63" s="11">
        <v>35.87</v>
      </c>
      <c r="D63" s="11">
        <v>0.61</v>
      </c>
      <c r="E63" s="12">
        <f t="shared" si="1"/>
        <v>5</v>
      </c>
      <c r="F63" s="13">
        <f t="shared" si="2"/>
        <v>0.0005</v>
      </c>
      <c r="G63" s="13" t="str">
        <f t="shared" si="3"/>
        <v>Normal</v>
      </c>
      <c r="H63" s="13" t="str">
        <f t="shared" si="4"/>
        <v>Afternoon</v>
      </c>
      <c r="I63" s="13">
        <f t="shared" si="5"/>
        <v>1</v>
      </c>
      <c r="J63" s="14" t="str">
        <f t="shared" si="6"/>
        <v>AC</v>
      </c>
      <c r="K63" s="15">
        <f t="shared" si="7"/>
        <v>15</v>
      </c>
      <c r="M63" s="15">
        <f t="shared" si="8"/>
        <v>0.8567001115</v>
      </c>
    </row>
    <row r="64">
      <c r="A64" s="10">
        <v>42370.20905092593</v>
      </c>
      <c r="B64" s="11">
        <v>0.651283333</v>
      </c>
      <c r="C64" s="11">
        <v>35.87</v>
      </c>
      <c r="D64" s="11">
        <v>0.61</v>
      </c>
      <c r="E64" s="12">
        <f t="shared" si="1"/>
        <v>5</v>
      </c>
      <c r="F64" s="13">
        <f t="shared" si="2"/>
        <v>0.0007</v>
      </c>
      <c r="G64" s="13" t="str">
        <f t="shared" si="3"/>
        <v>Normal</v>
      </c>
      <c r="H64" s="13" t="str">
        <f t="shared" si="4"/>
        <v>Afternoon</v>
      </c>
      <c r="I64" s="13">
        <f t="shared" si="5"/>
        <v>2</v>
      </c>
      <c r="J64" s="14" t="str">
        <f t="shared" si="6"/>
        <v>Heater</v>
      </c>
      <c r="K64" s="15">
        <f t="shared" si="7"/>
        <v>16</v>
      </c>
      <c r="M64" s="15">
        <f t="shared" si="8"/>
        <v>0.8567001115</v>
      </c>
    </row>
    <row r="65">
      <c r="A65" s="10">
        <v>42370.2090625</v>
      </c>
      <c r="B65" s="11">
        <v>0.71045</v>
      </c>
      <c r="C65" s="11">
        <v>35.87</v>
      </c>
      <c r="D65" s="11">
        <v>0.61</v>
      </c>
      <c r="E65" s="12">
        <f t="shared" si="1"/>
        <v>5</v>
      </c>
      <c r="F65" s="13">
        <f t="shared" si="2"/>
        <v>0.0007</v>
      </c>
      <c r="G65" s="13" t="str">
        <f t="shared" si="3"/>
        <v>Normal</v>
      </c>
      <c r="H65" s="13" t="str">
        <f t="shared" si="4"/>
        <v>Afternoon</v>
      </c>
      <c r="I65" s="13">
        <f t="shared" si="5"/>
        <v>3</v>
      </c>
      <c r="J65" s="14" t="str">
        <f t="shared" si="6"/>
        <v>Fridge</v>
      </c>
      <c r="K65" s="15">
        <f t="shared" si="7"/>
        <v>17</v>
      </c>
      <c r="M65" s="15">
        <f t="shared" si="8"/>
        <v>0.8567001115</v>
      </c>
    </row>
    <row r="66">
      <c r="A66" s="10">
        <v>42370.209074074075</v>
      </c>
      <c r="B66" s="11">
        <v>1.195683333</v>
      </c>
      <c r="C66" s="11">
        <v>35.87</v>
      </c>
      <c r="D66" s="11">
        <v>0.61</v>
      </c>
      <c r="E66" s="12">
        <f t="shared" si="1"/>
        <v>5</v>
      </c>
      <c r="F66" s="13">
        <f t="shared" si="2"/>
        <v>0.0012</v>
      </c>
      <c r="G66" s="13" t="str">
        <f t="shared" si="3"/>
        <v>High</v>
      </c>
      <c r="H66" s="13" t="str">
        <f t="shared" si="4"/>
        <v>Evening</v>
      </c>
      <c r="I66" s="13">
        <f t="shared" si="5"/>
        <v>1</v>
      </c>
      <c r="J66" s="14" t="str">
        <f t="shared" si="6"/>
        <v>AC</v>
      </c>
      <c r="K66" s="15">
        <f t="shared" si="7"/>
        <v>18</v>
      </c>
      <c r="M66" s="15">
        <f t="shared" si="8"/>
        <v>0.8567001115</v>
      </c>
    </row>
    <row r="67">
      <c r="A67" s="10">
        <v>42370.20908564815</v>
      </c>
      <c r="B67" s="11">
        <v>1.184766667</v>
      </c>
      <c r="C67" s="11">
        <v>35.87</v>
      </c>
      <c r="D67" s="11">
        <v>0.61</v>
      </c>
      <c r="E67" s="12">
        <f t="shared" si="1"/>
        <v>5</v>
      </c>
      <c r="F67" s="13">
        <f t="shared" si="2"/>
        <v>0.0012</v>
      </c>
      <c r="G67" s="13" t="str">
        <f t="shared" si="3"/>
        <v>High</v>
      </c>
      <c r="H67" s="13" t="str">
        <f t="shared" si="4"/>
        <v>Evening</v>
      </c>
      <c r="I67" s="13">
        <f t="shared" si="5"/>
        <v>2</v>
      </c>
      <c r="J67" s="14" t="str">
        <f t="shared" si="6"/>
        <v>Heater</v>
      </c>
      <c r="K67" s="15">
        <f t="shared" si="7"/>
        <v>19</v>
      </c>
      <c r="M67" s="15">
        <f t="shared" si="8"/>
        <v>0.8567001115</v>
      </c>
    </row>
    <row r="68">
      <c r="A68" s="10">
        <v>42370.20909722222</v>
      </c>
      <c r="B68" s="11">
        <v>1.157433333</v>
      </c>
      <c r="C68" s="11">
        <v>35.87</v>
      </c>
      <c r="D68" s="11">
        <v>0.61</v>
      </c>
      <c r="E68" s="12">
        <f t="shared" si="1"/>
        <v>5</v>
      </c>
      <c r="F68" s="13">
        <f t="shared" si="2"/>
        <v>0.0012</v>
      </c>
      <c r="G68" s="13" t="str">
        <f t="shared" si="3"/>
        <v>High</v>
      </c>
      <c r="H68" s="13" t="str">
        <f t="shared" si="4"/>
        <v>Evening</v>
      </c>
      <c r="I68" s="13">
        <f t="shared" si="5"/>
        <v>3</v>
      </c>
      <c r="J68" s="14" t="str">
        <f t="shared" si="6"/>
        <v>Fridge</v>
      </c>
      <c r="K68" s="15">
        <f t="shared" si="7"/>
        <v>20</v>
      </c>
      <c r="M68" s="15">
        <f t="shared" si="8"/>
        <v>0.8567001115</v>
      </c>
    </row>
    <row r="69">
      <c r="A69" s="10">
        <v>42370.2091087963</v>
      </c>
      <c r="B69" s="11">
        <v>0.815616667</v>
      </c>
      <c r="C69" s="11">
        <v>35.87</v>
      </c>
      <c r="D69" s="11">
        <v>0.61</v>
      </c>
      <c r="E69" s="12">
        <f t="shared" si="1"/>
        <v>5</v>
      </c>
      <c r="F69" s="13">
        <f t="shared" si="2"/>
        <v>0.0008</v>
      </c>
      <c r="G69" s="13" t="str">
        <f t="shared" si="3"/>
        <v>Normal</v>
      </c>
      <c r="H69" s="13" t="str">
        <f t="shared" si="4"/>
        <v>Evening</v>
      </c>
      <c r="I69" s="13">
        <f t="shared" si="5"/>
        <v>1</v>
      </c>
      <c r="J69" s="14" t="str">
        <f t="shared" si="6"/>
        <v>AC</v>
      </c>
      <c r="K69" s="15">
        <f t="shared" si="7"/>
        <v>21</v>
      </c>
      <c r="M69" s="15">
        <f t="shared" si="8"/>
        <v>0.8567001115</v>
      </c>
    </row>
    <row r="70">
      <c r="A70" s="10">
        <v>42370.209120370375</v>
      </c>
      <c r="B70" s="11">
        <v>0.61905</v>
      </c>
      <c r="C70" s="11">
        <v>35.87</v>
      </c>
      <c r="D70" s="11">
        <v>0.61</v>
      </c>
      <c r="E70" s="12">
        <f t="shared" si="1"/>
        <v>5</v>
      </c>
      <c r="F70" s="13">
        <f t="shared" si="2"/>
        <v>0.0006</v>
      </c>
      <c r="G70" s="13" t="str">
        <f t="shared" si="3"/>
        <v>Normal</v>
      </c>
      <c r="H70" s="13" t="str">
        <f t="shared" si="4"/>
        <v>Evening</v>
      </c>
      <c r="I70" s="13">
        <f t="shared" si="5"/>
        <v>2</v>
      </c>
      <c r="J70" s="14" t="str">
        <f t="shared" si="6"/>
        <v>Heater</v>
      </c>
      <c r="K70" s="15">
        <f t="shared" si="7"/>
        <v>22</v>
      </c>
      <c r="M70" s="15">
        <f t="shared" si="8"/>
        <v>0.8567001115</v>
      </c>
    </row>
    <row r="71">
      <c r="A71" s="10">
        <v>42370.209131944444</v>
      </c>
      <c r="B71" s="11">
        <v>0.754166667</v>
      </c>
      <c r="C71" s="11">
        <v>35.87</v>
      </c>
      <c r="D71" s="11">
        <v>0.61</v>
      </c>
      <c r="E71" s="12">
        <f t="shared" si="1"/>
        <v>5</v>
      </c>
      <c r="F71" s="13">
        <f t="shared" si="2"/>
        <v>0.0008</v>
      </c>
      <c r="G71" s="13" t="str">
        <f t="shared" si="3"/>
        <v>Normal</v>
      </c>
      <c r="H71" s="13" t="str">
        <f t="shared" si="4"/>
        <v>Evening</v>
      </c>
      <c r="I71" s="13">
        <f t="shared" si="5"/>
        <v>3</v>
      </c>
      <c r="J71" s="14" t="str">
        <f t="shared" si="6"/>
        <v>Fridge</v>
      </c>
      <c r="K71" s="15">
        <f t="shared" si="7"/>
        <v>23</v>
      </c>
      <c r="M71" s="15">
        <f t="shared" si="8"/>
        <v>0.8567001115</v>
      </c>
    </row>
    <row r="72">
      <c r="A72" s="10">
        <v>42370.209143518514</v>
      </c>
      <c r="B72" s="11">
        <v>1.042116667</v>
      </c>
      <c r="C72" s="11">
        <v>35.87</v>
      </c>
      <c r="D72" s="11">
        <v>0.61</v>
      </c>
      <c r="E72" s="12">
        <f t="shared" si="1"/>
        <v>5</v>
      </c>
      <c r="F72" s="13">
        <f t="shared" si="2"/>
        <v>0.001</v>
      </c>
      <c r="G72" s="13" t="str">
        <f t="shared" si="3"/>
        <v>High</v>
      </c>
      <c r="H72" s="13" t="str">
        <f t="shared" si="4"/>
        <v>Night</v>
      </c>
      <c r="I72" s="13">
        <f t="shared" si="5"/>
        <v>1</v>
      </c>
      <c r="J72" s="14" t="str">
        <f t="shared" si="6"/>
        <v>AC</v>
      </c>
      <c r="K72" s="15">
        <f t="shared" si="7"/>
        <v>0</v>
      </c>
      <c r="M72" s="15">
        <f t="shared" si="8"/>
        <v>0.8567001115</v>
      </c>
    </row>
    <row r="73">
      <c r="A73" s="10">
        <v>42370.2091550926</v>
      </c>
      <c r="B73" s="11">
        <v>1.324533333</v>
      </c>
      <c r="C73" s="11">
        <v>35.87</v>
      </c>
      <c r="D73" s="11">
        <v>0.61</v>
      </c>
      <c r="E73" s="12">
        <f t="shared" si="1"/>
        <v>5</v>
      </c>
      <c r="F73" s="13">
        <f t="shared" si="2"/>
        <v>0.0013</v>
      </c>
      <c r="G73" s="13" t="str">
        <f t="shared" si="3"/>
        <v>High</v>
      </c>
      <c r="H73" s="13" t="str">
        <f t="shared" si="4"/>
        <v>Night</v>
      </c>
      <c r="I73" s="13">
        <f t="shared" si="5"/>
        <v>2</v>
      </c>
      <c r="J73" s="14" t="str">
        <f t="shared" si="6"/>
        <v>Heater</v>
      </c>
      <c r="K73" s="15">
        <f t="shared" si="7"/>
        <v>1</v>
      </c>
      <c r="M73" s="15">
        <f t="shared" si="8"/>
        <v>0.8567001115</v>
      </c>
    </row>
    <row r="74">
      <c r="A74" s="10">
        <v>42370.20916666667</v>
      </c>
      <c r="B74" s="11">
        <v>1.359466667</v>
      </c>
      <c r="C74" s="11">
        <v>35.87</v>
      </c>
      <c r="D74" s="11">
        <v>0.61</v>
      </c>
      <c r="E74" s="12">
        <f t="shared" si="1"/>
        <v>5</v>
      </c>
      <c r="F74" s="13">
        <f t="shared" si="2"/>
        <v>0.0014</v>
      </c>
      <c r="G74" s="13" t="str">
        <f t="shared" si="3"/>
        <v>High</v>
      </c>
      <c r="H74" s="13" t="str">
        <f t="shared" si="4"/>
        <v>Night</v>
      </c>
      <c r="I74" s="13">
        <f t="shared" si="5"/>
        <v>3</v>
      </c>
      <c r="J74" s="14" t="str">
        <f t="shared" si="6"/>
        <v>Fridge</v>
      </c>
      <c r="K74" s="15">
        <f t="shared" si="7"/>
        <v>2</v>
      </c>
      <c r="M74" s="15">
        <f t="shared" si="8"/>
        <v>0.8567001115</v>
      </c>
    </row>
    <row r="75">
      <c r="A75" s="10">
        <v>42370.20917824074</v>
      </c>
      <c r="B75" s="11">
        <v>1.3133</v>
      </c>
      <c r="C75" s="11">
        <v>35.87</v>
      </c>
      <c r="D75" s="11">
        <v>0.61</v>
      </c>
      <c r="E75" s="12">
        <f t="shared" si="1"/>
        <v>5</v>
      </c>
      <c r="F75" s="13">
        <f t="shared" si="2"/>
        <v>0.0013</v>
      </c>
      <c r="G75" s="13" t="str">
        <f t="shared" si="3"/>
        <v>High</v>
      </c>
      <c r="H75" s="13" t="str">
        <f t="shared" si="4"/>
        <v>Night</v>
      </c>
      <c r="I75" s="13">
        <f t="shared" si="5"/>
        <v>1</v>
      </c>
      <c r="J75" s="14" t="str">
        <f t="shared" si="6"/>
        <v>AC</v>
      </c>
      <c r="K75" s="15">
        <f t="shared" si="7"/>
        <v>3</v>
      </c>
      <c r="M75" s="15">
        <f t="shared" si="8"/>
        <v>0.8567001115</v>
      </c>
      <c r="O75" s="23" t="s">
        <v>24</v>
      </c>
    </row>
    <row r="76">
      <c r="A76" s="10">
        <v>42370.209189814814</v>
      </c>
      <c r="B76" s="11">
        <v>1.603183333</v>
      </c>
      <c r="C76" s="11">
        <v>35.87</v>
      </c>
      <c r="D76" s="11">
        <v>0.61</v>
      </c>
      <c r="E76" s="12">
        <f t="shared" si="1"/>
        <v>5</v>
      </c>
      <c r="F76" s="13">
        <f t="shared" si="2"/>
        <v>0.0016</v>
      </c>
      <c r="G76" s="13" t="str">
        <f t="shared" si="3"/>
        <v>High</v>
      </c>
      <c r="H76" s="13" t="str">
        <f t="shared" si="4"/>
        <v>Night</v>
      </c>
      <c r="I76" s="13">
        <f t="shared" si="5"/>
        <v>2</v>
      </c>
      <c r="J76" s="14" t="str">
        <f t="shared" si="6"/>
        <v>Heater</v>
      </c>
      <c r="K76" s="15">
        <f t="shared" si="7"/>
        <v>4</v>
      </c>
      <c r="M76" s="15">
        <f t="shared" si="8"/>
        <v>0.8567001115</v>
      </c>
    </row>
    <row r="77">
      <c r="A77" s="10">
        <v>42370.20920138889</v>
      </c>
      <c r="B77" s="11">
        <v>1.208766667</v>
      </c>
      <c r="C77" s="11">
        <v>35.87</v>
      </c>
      <c r="D77" s="11">
        <v>0.61</v>
      </c>
      <c r="E77" s="12">
        <f t="shared" si="1"/>
        <v>5</v>
      </c>
      <c r="F77" s="13">
        <f t="shared" si="2"/>
        <v>0.0012</v>
      </c>
      <c r="G77" s="13" t="str">
        <f t="shared" si="3"/>
        <v>High</v>
      </c>
      <c r="H77" s="13" t="str">
        <f t="shared" si="4"/>
        <v>Night</v>
      </c>
      <c r="I77" s="13">
        <f t="shared" si="5"/>
        <v>3</v>
      </c>
      <c r="J77" s="14" t="str">
        <f t="shared" si="6"/>
        <v>Fridge</v>
      </c>
      <c r="K77" s="15">
        <f t="shared" si="7"/>
        <v>5</v>
      </c>
      <c r="M77" s="15">
        <f t="shared" si="8"/>
        <v>0.8567001115</v>
      </c>
      <c r="O77" s="23" t="s">
        <v>25</v>
      </c>
    </row>
    <row r="78">
      <c r="A78" s="10">
        <v>42370.20921296296</v>
      </c>
      <c r="B78" s="11">
        <v>1.072566667</v>
      </c>
      <c r="C78" s="11">
        <v>35.87</v>
      </c>
      <c r="D78" s="11">
        <v>0.61</v>
      </c>
      <c r="E78" s="12">
        <f t="shared" si="1"/>
        <v>5</v>
      </c>
      <c r="F78" s="13">
        <f t="shared" si="2"/>
        <v>0.0011</v>
      </c>
      <c r="G78" s="13" t="str">
        <f t="shared" si="3"/>
        <v>High</v>
      </c>
      <c r="H78" s="13" t="str">
        <f t="shared" si="4"/>
        <v>Morning</v>
      </c>
      <c r="I78" s="13">
        <f t="shared" si="5"/>
        <v>1</v>
      </c>
      <c r="J78" s="14" t="str">
        <f t="shared" si="6"/>
        <v>AC</v>
      </c>
      <c r="K78" s="15">
        <f t="shared" si="7"/>
        <v>6</v>
      </c>
      <c r="M78" s="15">
        <f t="shared" si="8"/>
        <v>0.8567001115</v>
      </c>
      <c r="O78" s="23" t="s">
        <v>26</v>
      </c>
    </row>
    <row r="79">
      <c r="A79" s="10">
        <v>42370.20922453704</v>
      </c>
      <c r="B79" s="11">
        <v>1.0283</v>
      </c>
      <c r="C79" s="11">
        <v>35.87</v>
      </c>
      <c r="D79" s="11">
        <v>0.61</v>
      </c>
      <c r="E79" s="12">
        <f t="shared" si="1"/>
        <v>5</v>
      </c>
      <c r="F79" s="13">
        <f t="shared" si="2"/>
        <v>0.001</v>
      </c>
      <c r="G79" s="13" t="str">
        <f t="shared" si="3"/>
        <v>High</v>
      </c>
      <c r="H79" s="13" t="str">
        <f t="shared" si="4"/>
        <v>Morning</v>
      </c>
      <c r="I79" s="13">
        <f t="shared" si="5"/>
        <v>2</v>
      </c>
      <c r="J79" s="14" t="str">
        <f t="shared" si="6"/>
        <v>Heater</v>
      </c>
      <c r="K79" s="15">
        <f t="shared" si="7"/>
        <v>7</v>
      </c>
      <c r="M79" s="15">
        <f t="shared" si="8"/>
        <v>0.8567001115</v>
      </c>
      <c r="O79" s="23" t="s">
        <v>27</v>
      </c>
    </row>
    <row r="80">
      <c r="A80" s="10">
        <v>42370.20923611111</v>
      </c>
      <c r="B80" s="11">
        <v>1.025233333</v>
      </c>
      <c r="C80" s="11">
        <v>35.87</v>
      </c>
      <c r="D80" s="11">
        <v>0.61</v>
      </c>
      <c r="E80" s="12">
        <f t="shared" si="1"/>
        <v>5</v>
      </c>
      <c r="F80" s="13">
        <f t="shared" si="2"/>
        <v>0.001</v>
      </c>
      <c r="G80" s="13" t="str">
        <f t="shared" si="3"/>
        <v>High</v>
      </c>
      <c r="H80" s="13" t="str">
        <f t="shared" si="4"/>
        <v>Morning</v>
      </c>
      <c r="I80" s="13">
        <f t="shared" si="5"/>
        <v>3</v>
      </c>
      <c r="J80" s="14" t="str">
        <f t="shared" si="6"/>
        <v>Fridge</v>
      </c>
      <c r="K80" s="15">
        <f t="shared" si="7"/>
        <v>8</v>
      </c>
      <c r="M80" s="15">
        <f t="shared" si="8"/>
        <v>0.8567001115</v>
      </c>
    </row>
    <row r="81">
      <c r="A81" s="10">
        <v>42370.20924768518</v>
      </c>
      <c r="B81" s="11">
        <v>1.025866667</v>
      </c>
      <c r="C81" s="11">
        <v>35.87</v>
      </c>
      <c r="D81" s="11">
        <v>0.61</v>
      </c>
      <c r="E81" s="12">
        <f t="shared" si="1"/>
        <v>5</v>
      </c>
      <c r="F81" s="13">
        <f t="shared" si="2"/>
        <v>0.001</v>
      </c>
      <c r="G81" s="13" t="str">
        <f t="shared" si="3"/>
        <v>High</v>
      </c>
      <c r="H81" s="13" t="str">
        <f t="shared" si="4"/>
        <v>Morning</v>
      </c>
      <c r="I81" s="13">
        <f t="shared" si="5"/>
        <v>1</v>
      </c>
      <c r="J81" s="14" t="str">
        <f t="shared" si="6"/>
        <v>AC</v>
      </c>
      <c r="K81" s="15">
        <f t="shared" si="7"/>
        <v>9</v>
      </c>
      <c r="M81" s="15">
        <f t="shared" si="8"/>
        <v>0.8567001115</v>
      </c>
    </row>
    <row r="82">
      <c r="A82" s="10">
        <v>42370.20925925926</v>
      </c>
      <c r="B82" s="11">
        <v>1.095533333</v>
      </c>
      <c r="C82" s="11">
        <v>35.87</v>
      </c>
      <c r="D82" s="11">
        <v>0.61</v>
      </c>
      <c r="E82" s="12">
        <f t="shared" si="1"/>
        <v>5</v>
      </c>
      <c r="F82" s="13">
        <f t="shared" si="2"/>
        <v>0.0011</v>
      </c>
      <c r="G82" s="13" t="str">
        <f t="shared" si="3"/>
        <v>High</v>
      </c>
      <c r="H82" s="13" t="str">
        <f t="shared" si="4"/>
        <v>Morning</v>
      </c>
      <c r="I82" s="13">
        <f t="shared" si="5"/>
        <v>2</v>
      </c>
      <c r="J82" s="14" t="str">
        <f t="shared" si="6"/>
        <v>Heater</v>
      </c>
      <c r="K82" s="15">
        <f t="shared" si="7"/>
        <v>10</v>
      </c>
      <c r="M82" s="15">
        <f t="shared" si="8"/>
        <v>0.8567001115</v>
      </c>
    </row>
    <row r="83">
      <c r="A83" s="10">
        <v>42370.20927083334</v>
      </c>
      <c r="B83" s="11">
        <v>0.99885</v>
      </c>
      <c r="C83" s="11">
        <v>35.87</v>
      </c>
      <c r="D83" s="11">
        <v>0.61</v>
      </c>
      <c r="E83" s="12">
        <f t="shared" si="1"/>
        <v>5</v>
      </c>
      <c r="F83" s="13">
        <f t="shared" si="2"/>
        <v>0.001</v>
      </c>
      <c r="G83" s="13" t="str">
        <f t="shared" si="3"/>
        <v>High</v>
      </c>
      <c r="H83" s="13" t="str">
        <f t="shared" si="4"/>
        <v>Morning</v>
      </c>
      <c r="I83" s="13">
        <f t="shared" si="5"/>
        <v>3</v>
      </c>
      <c r="J83" s="14" t="str">
        <f t="shared" si="6"/>
        <v>Fridge</v>
      </c>
      <c r="K83" s="15">
        <f t="shared" si="7"/>
        <v>11</v>
      </c>
      <c r="M83" s="15">
        <f t="shared" si="8"/>
        <v>0.8567001115</v>
      </c>
    </row>
    <row r="84">
      <c r="A84" s="10">
        <v>42370.209282407406</v>
      </c>
      <c r="B84" s="11">
        <v>0.584066667</v>
      </c>
      <c r="C84" s="11">
        <v>35.87</v>
      </c>
      <c r="D84" s="11">
        <v>0.61</v>
      </c>
      <c r="E84" s="12">
        <f t="shared" si="1"/>
        <v>5</v>
      </c>
      <c r="F84" s="13">
        <f t="shared" si="2"/>
        <v>0.0006</v>
      </c>
      <c r="G84" s="13" t="str">
        <f t="shared" si="3"/>
        <v>Normal</v>
      </c>
      <c r="H84" s="13" t="str">
        <f t="shared" si="4"/>
        <v>Afternoon</v>
      </c>
      <c r="I84" s="13">
        <f t="shared" si="5"/>
        <v>1</v>
      </c>
      <c r="J84" s="14" t="str">
        <f t="shared" si="6"/>
        <v>AC</v>
      </c>
      <c r="K84" s="15">
        <f t="shared" si="7"/>
        <v>12</v>
      </c>
      <c r="M84" s="15">
        <f t="shared" si="8"/>
        <v>0.8567001115</v>
      </c>
    </row>
    <row r="85">
      <c r="A85" s="10">
        <v>42370.20929398148</v>
      </c>
      <c r="B85" s="11">
        <v>0.568116667</v>
      </c>
      <c r="C85" s="11">
        <v>35.87</v>
      </c>
      <c r="D85" s="11">
        <v>0.61</v>
      </c>
      <c r="E85" s="12">
        <f t="shared" si="1"/>
        <v>5</v>
      </c>
      <c r="F85" s="13">
        <f t="shared" si="2"/>
        <v>0.0006</v>
      </c>
      <c r="G85" s="13" t="str">
        <f t="shared" si="3"/>
        <v>Normal</v>
      </c>
      <c r="H85" s="13" t="str">
        <f t="shared" si="4"/>
        <v>Afternoon</v>
      </c>
      <c r="I85" s="13">
        <f t="shared" si="5"/>
        <v>2</v>
      </c>
      <c r="J85" s="14" t="str">
        <f t="shared" si="6"/>
        <v>Heater</v>
      </c>
      <c r="K85" s="15">
        <f t="shared" si="7"/>
        <v>13</v>
      </c>
      <c r="M85" s="15">
        <f t="shared" si="8"/>
        <v>0.8567001115</v>
      </c>
    </row>
    <row r="86">
      <c r="A86" s="10">
        <v>42370.20930555556</v>
      </c>
      <c r="B86" s="11">
        <v>0.5922</v>
      </c>
      <c r="C86" s="11">
        <v>35.87</v>
      </c>
      <c r="D86" s="11">
        <v>0.61</v>
      </c>
      <c r="E86" s="12">
        <f t="shared" si="1"/>
        <v>5</v>
      </c>
      <c r="F86" s="13">
        <f t="shared" si="2"/>
        <v>0.0006</v>
      </c>
      <c r="G86" s="13" t="str">
        <f t="shared" si="3"/>
        <v>Normal</v>
      </c>
      <c r="H86" s="13" t="str">
        <f t="shared" si="4"/>
        <v>Afternoon</v>
      </c>
      <c r="I86" s="13">
        <f t="shared" si="5"/>
        <v>3</v>
      </c>
      <c r="J86" s="14" t="str">
        <f t="shared" si="6"/>
        <v>Fridge</v>
      </c>
      <c r="K86" s="15">
        <f t="shared" si="7"/>
        <v>14</v>
      </c>
      <c r="M86" s="15">
        <f t="shared" si="8"/>
        <v>0.8567001115</v>
      </c>
    </row>
    <row r="87">
      <c r="A87" s="10">
        <v>42370.20931712963</v>
      </c>
      <c r="B87" s="11">
        <v>0.6984</v>
      </c>
      <c r="C87" s="11">
        <v>35.87</v>
      </c>
      <c r="D87" s="11">
        <v>0.61</v>
      </c>
      <c r="E87" s="12">
        <f t="shared" si="1"/>
        <v>5</v>
      </c>
      <c r="F87" s="13">
        <f t="shared" si="2"/>
        <v>0.0007</v>
      </c>
      <c r="G87" s="13" t="str">
        <f t="shared" si="3"/>
        <v>Normal</v>
      </c>
      <c r="H87" s="13" t="str">
        <f t="shared" si="4"/>
        <v>Afternoon</v>
      </c>
      <c r="I87" s="13">
        <f t="shared" si="5"/>
        <v>1</v>
      </c>
      <c r="J87" s="14" t="str">
        <f t="shared" si="6"/>
        <v>AC</v>
      </c>
      <c r="K87" s="15">
        <f t="shared" si="7"/>
        <v>15</v>
      </c>
      <c r="M87" s="15">
        <f t="shared" si="8"/>
        <v>0.8567001115</v>
      </c>
    </row>
    <row r="88">
      <c r="A88" s="10">
        <v>42370.2093287037</v>
      </c>
      <c r="B88" s="11">
        <v>0.872033333</v>
      </c>
      <c r="C88" s="11">
        <v>35.87</v>
      </c>
      <c r="D88" s="11">
        <v>0.61</v>
      </c>
      <c r="E88" s="12">
        <f t="shared" si="1"/>
        <v>5</v>
      </c>
      <c r="F88" s="13">
        <f t="shared" si="2"/>
        <v>0.0009</v>
      </c>
      <c r="G88" s="13" t="str">
        <f t="shared" si="3"/>
        <v>High</v>
      </c>
      <c r="H88" s="13" t="str">
        <f t="shared" si="4"/>
        <v>Afternoon</v>
      </c>
      <c r="I88" s="13">
        <f t="shared" si="5"/>
        <v>2</v>
      </c>
      <c r="J88" s="14" t="str">
        <f t="shared" si="6"/>
        <v>Heater</v>
      </c>
      <c r="K88" s="15">
        <f t="shared" si="7"/>
        <v>16</v>
      </c>
      <c r="M88" s="15">
        <f t="shared" si="8"/>
        <v>0.8567001115</v>
      </c>
    </row>
    <row r="89">
      <c r="A89" s="10">
        <v>42370.20934027778</v>
      </c>
      <c r="B89" s="11">
        <v>1.318816667</v>
      </c>
      <c r="C89" s="11">
        <v>35.87</v>
      </c>
      <c r="D89" s="11">
        <v>0.61</v>
      </c>
      <c r="E89" s="12">
        <f t="shared" si="1"/>
        <v>5</v>
      </c>
      <c r="F89" s="13">
        <f t="shared" si="2"/>
        <v>0.0013</v>
      </c>
      <c r="G89" s="13" t="str">
        <f t="shared" si="3"/>
        <v>High</v>
      </c>
      <c r="H89" s="13" t="str">
        <f t="shared" si="4"/>
        <v>Afternoon</v>
      </c>
      <c r="I89" s="13">
        <f t="shared" si="5"/>
        <v>3</v>
      </c>
      <c r="J89" s="14" t="str">
        <f t="shared" si="6"/>
        <v>Fridge</v>
      </c>
      <c r="K89" s="15">
        <f t="shared" si="7"/>
        <v>17</v>
      </c>
      <c r="M89" s="15">
        <f t="shared" si="8"/>
        <v>0.8567001115</v>
      </c>
    </row>
    <row r="90">
      <c r="A90" s="10">
        <v>42370.20935185185</v>
      </c>
      <c r="B90" s="11">
        <v>1.3866</v>
      </c>
      <c r="C90" s="11">
        <v>35.87</v>
      </c>
      <c r="D90" s="11">
        <v>0.61</v>
      </c>
      <c r="E90" s="12">
        <f t="shared" si="1"/>
        <v>5</v>
      </c>
      <c r="F90" s="13">
        <f t="shared" si="2"/>
        <v>0.0014</v>
      </c>
      <c r="G90" s="13" t="str">
        <f t="shared" si="3"/>
        <v>High</v>
      </c>
      <c r="H90" s="13" t="str">
        <f t="shared" si="4"/>
        <v>Evening</v>
      </c>
      <c r="I90" s="13">
        <f t="shared" si="5"/>
        <v>1</v>
      </c>
      <c r="J90" s="14" t="str">
        <f t="shared" si="6"/>
        <v>AC</v>
      </c>
      <c r="K90" s="15">
        <f t="shared" si="7"/>
        <v>18</v>
      </c>
      <c r="M90" s="15">
        <f t="shared" si="8"/>
        <v>0.8567001115</v>
      </c>
    </row>
    <row r="91">
      <c r="A91" s="10">
        <v>42370.20936342592</v>
      </c>
      <c r="B91" s="11">
        <v>1.384583333</v>
      </c>
      <c r="C91" s="11">
        <v>35.87</v>
      </c>
      <c r="D91" s="11">
        <v>0.61</v>
      </c>
      <c r="E91" s="12">
        <f t="shared" si="1"/>
        <v>5</v>
      </c>
      <c r="F91" s="13">
        <f t="shared" si="2"/>
        <v>0.0014</v>
      </c>
      <c r="G91" s="13" t="str">
        <f t="shared" si="3"/>
        <v>High</v>
      </c>
      <c r="H91" s="13" t="str">
        <f t="shared" si="4"/>
        <v>Evening</v>
      </c>
      <c r="I91" s="13">
        <f t="shared" si="5"/>
        <v>2</v>
      </c>
      <c r="J91" s="14" t="str">
        <f t="shared" si="6"/>
        <v>Heater</v>
      </c>
      <c r="K91" s="15">
        <f t="shared" si="7"/>
        <v>19</v>
      </c>
      <c r="M91" s="15">
        <f t="shared" si="8"/>
        <v>0.8567001115</v>
      </c>
    </row>
    <row r="92">
      <c r="A92" s="10">
        <v>42370.209375</v>
      </c>
      <c r="B92" s="11">
        <v>1.2114</v>
      </c>
      <c r="C92" s="11">
        <v>35.87</v>
      </c>
      <c r="D92" s="11">
        <v>0.61</v>
      </c>
      <c r="E92" s="12">
        <f t="shared" si="1"/>
        <v>5</v>
      </c>
      <c r="F92" s="13">
        <f t="shared" si="2"/>
        <v>0.0012</v>
      </c>
      <c r="G92" s="13" t="str">
        <f t="shared" si="3"/>
        <v>High</v>
      </c>
      <c r="H92" s="13" t="str">
        <f t="shared" si="4"/>
        <v>Evening</v>
      </c>
      <c r="I92" s="13">
        <f t="shared" si="5"/>
        <v>3</v>
      </c>
      <c r="J92" s="14" t="str">
        <f t="shared" si="6"/>
        <v>Fridge</v>
      </c>
      <c r="K92" s="15">
        <f t="shared" si="7"/>
        <v>20</v>
      </c>
      <c r="M92" s="15">
        <f t="shared" si="8"/>
        <v>0.8567001115</v>
      </c>
    </row>
    <row r="93">
      <c r="A93" s="10">
        <v>42370.209386574075</v>
      </c>
      <c r="B93" s="11">
        <v>1.07305</v>
      </c>
      <c r="C93" s="11">
        <v>35.87</v>
      </c>
      <c r="D93" s="11">
        <v>0.61</v>
      </c>
      <c r="E93" s="12">
        <f t="shared" si="1"/>
        <v>5</v>
      </c>
      <c r="F93" s="13">
        <f t="shared" si="2"/>
        <v>0.0011</v>
      </c>
      <c r="G93" s="13" t="str">
        <f t="shared" si="3"/>
        <v>High</v>
      </c>
      <c r="H93" s="13" t="str">
        <f t="shared" si="4"/>
        <v>Evening</v>
      </c>
      <c r="I93" s="13">
        <f t="shared" si="5"/>
        <v>1</v>
      </c>
      <c r="J93" s="14" t="str">
        <f t="shared" si="6"/>
        <v>AC</v>
      </c>
      <c r="K93" s="15">
        <f t="shared" si="7"/>
        <v>21</v>
      </c>
      <c r="M93" s="15">
        <f t="shared" si="8"/>
        <v>0.8567001115</v>
      </c>
    </row>
    <row r="94">
      <c r="A94" s="10">
        <v>42370.209398148145</v>
      </c>
      <c r="B94" s="11">
        <v>0.891583333</v>
      </c>
      <c r="C94" s="11">
        <v>35.87</v>
      </c>
      <c r="D94" s="11">
        <v>0.61</v>
      </c>
      <c r="E94" s="12">
        <f t="shared" si="1"/>
        <v>5</v>
      </c>
      <c r="F94" s="13">
        <f t="shared" si="2"/>
        <v>0.0009</v>
      </c>
      <c r="G94" s="13" t="str">
        <f t="shared" si="3"/>
        <v>High</v>
      </c>
      <c r="H94" s="13" t="str">
        <f t="shared" si="4"/>
        <v>Evening</v>
      </c>
      <c r="I94" s="13">
        <f t="shared" si="5"/>
        <v>2</v>
      </c>
      <c r="J94" s="14" t="str">
        <f t="shared" si="6"/>
        <v>Heater</v>
      </c>
      <c r="K94" s="15">
        <f t="shared" si="7"/>
        <v>22</v>
      </c>
      <c r="M94" s="15">
        <f t="shared" si="8"/>
        <v>0.8567001115</v>
      </c>
    </row>
    <row r="95">
      <c r="A95" s="10">
        <v>42370.20940972222</v>
      </c>
      <c r="B95" s="11">
        <v>0.8999</v>
      </c>
      <c r="C95" s="11">
        <v>35.87</v>
      </c>
      <c r="D95" s="11">
        <v>0.61</v>
      </c>
      <c r="E95" s="12">
        <f t="shared" si="1"/>
        <v>5</v>
      </c>
      <c r="F95" s="13">
        <f t="shared" si="2"/>
        <v>0.0009</v>
      </c>
      <c r="G95" s="13" t="str">
        <f t="shared" si="3"/>
        <v>High</v>
      </c>
      <c r="H95" s="13" t="str">
        <f t="shared" si="4"/>
        <v>Evening</v>
      </c>
      <c r="I95" s="13">
        <f t="shared" si="5"/>
        <v>3</v>
      </c>
      <c r="J95" s="14" t="str">
        <f t="shared" si="6"/>
        <v>Fridge</v>
      </c>
      <c r="K95" s="15">
        <f t="shared" si="7"/>
        <v>23</v>
      </c>
      <c r="M95" s="15">
        <f t="shared" si="8"/>
        <v>0.8567001115</v>
      </c>
    </row>
    <row r="96">
      <c r="A96" s="10">
        <v>42370.2094212963</v>
      </c>
      <c r="B96" s="11">
        <v>0.830633333</v>
      </c>
      <c r="C96" s="11">
        <v>35.87</v>
      </c>
      <c r="D96" s="11">
        <v>0.61</v>
      </c>
      <c r="E96" s="12">
        <f t="shared" si="1"/>
        <v>5</v>
      </c>
      <c r="F96" s="13">
        <f t="shared" si="2"/>
        <v>0.0008</v>
      </c>
      <c r="G96" s="13" t="str">
        <f t="shared" si="3"/>
        <v>Normal</v>
      </c>
      <c r="H96" s="13" t="str">
        <f t="shared" si="4"/>
        <v>Night</v>
      </c>
      <c r="I96" s="13">
        <f t="shared" si="5"/>
        <v>1</v>
      </c>
      <c r="J96" s="14" t="str">
        <f t="shared" si="6"/>
        <v>AC</v>
      </c>
      <c r="K96" s="15">
        <f t="shared" si="7"/>
        <v>0</v>
      </c>
      <c r="M96" s="15">
        <f t="shared" si="8"/>
        <v>0.8567001115</v>
      </c>
    </row>
    <row r="97">
      <c r="A97" s="10">
        <v>42370.20943287037</v>
      </c>
      <c r="B97" s="11">
        <v>0.572466667</v>
      </c>
      <c r="C97" s="11">
        <v>35.87</v>
      </c>
      <c r="D97" s="11">
        <v>0.61</v>
      </c>
      <c r="E97" s="12">
        <f t="shared" si="1"/>
        <v>5</v>
      </c>
      <c r="F97" s="13">
        <f t="shared" si="2"/>
        <v>0.0006</v>
      </c>
      <c r="G97" s="13" t="str">
        <f t="shared" si="3"/>
        <v>Normal</v>
      </c>
      <c r="H97" s="13" t="str">
        <f t="shared" si="4"/>
        <v>Night</v>
      </c>
      <c r="I97" s="13">
        <f t="shared" si="5"/>
        <v>2</v>
      </c>
      <c r="J97" s="14" t="str">
        <f t="shared" si="6"/>
        <v>Heater</v>
      </c>
      <c r="K97" s="15">
        <f t="shared" si="7"/>
        <v>1</v>
      </c>
      <c r="M97" s="15">
        <f t="shared" si="8"/>
        <v>0.8567001115</v>
      </c>
    </row>
    <row r="98">
      <c r="A98" s="10">
        <v>42370.209444444445</v>
      </c>
      <c r="B98" s="11">
        <v>0.4222</v>
      </c>
      <c r="C98" s="11">
        <v>35.87</v>
      </c>
      <c r="D98" s="11">
        <v>0.61</v>
      </c>
      <c r="E98" s="12">
        <f t="shared" si="1"/>
        <v>5</v>
      </c>
      <c r="F98" s="13">
        <f t="shared" si="2"/>
        <v>0.0004</v>
      </c>
      <c r="G98" s="13" t="str">
        <f t="shared" si="3"/>
        <v>Normal</v>
      </c>
      <c r="H98" s="13" t="str">
        <f t="shared" si="4"/>
        <v>Night</v>
      </c>
      <c r="I98" s="13">
        <f t="shared" si="5"/>
        <v>3</v>
      </c>
      <c r="J98" s="14" t="str">
        <f t="shared" si="6"/>
        <v>Fridge</v>
      </c>
      <c r="K98" s="15">
        <f t="shared" si="7"/>
        <v>2</v>
      </c>
      <c r="M98" s="15">
        <f t="shared" si="8"/>
        <v>0.8567001115</v>
      </c>
    </row>
    <row r="99">
      <c r="A99" s="10">
        <v>42370.20945601852</v>
      </c>
      <c r="B99" s="11">
        <v>0.421366667</v>
      </c>
      <c r="C99" s="11">
        <v>35.87</v>
      </c>
      <c r="D99" s="11">
        <v>0.61</v>
      </c>
      <c r="E99" s="12">
        <f t="shared" si="1"/>
        <v>5</v>
      </c>
      <c r="F99" s="13">
        <f t="shared" si="2"/>
        <v>0.0004</v>
      </c>
      <c r="G99" s="13" t="str">
        <f t="shared" si="3"/>
        <v>Normal</v>
      </c>
      <c r="H99" s="13" t="str">
        <f t="shared" si="4"/>
        <v>Night</v>
      </c>
      <c r="I99" s="13">
        <f t="shared" si="5"/>
        <v>1</v>
      </c>
      <c r="J99" s="14" t="str">
        <f t="shared" si="6"/>
        <v>AC</v>
      </c>
      <c r="K99" s="15">
        <f t="shared" si="7"/>
        <v>3</v>
      </c>
      <c r="M99" s="15">
        <f t="shared" si="8"/>
        <v>0.8567001115</v>
      </c>
    </row>
    <row r="100">
      <c r="A100" s="10">
        <v>42370.20946759259</v>
      </c>
      <c r="B100" s="11">
        <v>0.4195</v>
      </c>
      <c r="C100" s="11">
        <v>35.87</v>
      </c>
      <c r="D100" s="11">
        <v>0.61</v>
      </c>
      <c r="E100" s="12">
        <f t="shared" si="1"/>
        <v>5</v>
      </c>
      <c r="F100" s="13">
        <f t="shared" si="2"/>
        <v>0.0004</v>
      </c>
      <c r="G100" s="13" t="str">
        <f t="shared" si="3"/>
        <v>Normal</v>
      </c>
      <c r="H100" s="13" t="str">
        <f t="shared" si="4"/>
        <v>Night</v>
      </c>
      <c r="I100" s="13">
        <f t="shared" si="5"/>
        <v>2</v>
      </c>
      <c r="J100" s="14" t="str">
        <f t="shared" si="6"/>
        <v>Heater</v>
      </c>
      <c r="K100" s="15">
        <f t="shared" si="7"/>
        <v>4</v>
      </c>
      <c r="M100" s="15">
        <f t="shared" si="8"/>
        <v>0.8567001115</v>
      </c>
    </row>
    <row r="101">
      <c r="A101" s="10">
        <v>42370.20947916667</v>
      </c>
      <c r="B101" s="11">
        <v>0.506516667</v>
      </c>
      <c r="C101" s="11">
        <v>35.87</v>
      </c>
      <c r="D101" s="11">
        <v>0.61</v>
      </c>
      <c r="E101" s="12">
        <f t="shared" si="1"/>
        <v>5</v>
      </c>
      <c r="F101" s="13">
        <f t="shared" si="2"/>
        <v>0.0005</v>
      </c>
      <c r="G101" s="13" t="str">
        <f t="shared" si="3"/>
        <v>Normal</v>
      </c>
      <c r="H101" s="13" t="str">
        <f t="shared" si="4"/>
        <v>Night</v>
      </c>
      <c r="I101" s="13">
        <f t="shared" si="5"/>
        <v>3</v>
      </c>
      <c r="J101" s="14" t="str">
        <f t="shared" si="6"/>
        <v>Fridge</v>
      </c>
      <c r="K101" s="15">
        <f t="shared" si="7"/>
        <v>5</v>
      </c>
      <c r="M101" s="15">
        <f t="shared" si="8"/>
        <v>0.8567001115</v>
      </c>
    </row>
    <row r="102">
      <c r="A102" s="10">
        <v>42370.209490740745</v>
      </c>
      <c r="B102" s="11">
        <v>0.6223</v>
      </c>
      <c r="C102" s="11">
        <v>35.87</v>
      </c>
      <c r="D102" s="11">
        <v>0.61</v>
      </c>
      <c r="E102" s="12">
        <f t="shared" si="1"/>
        <v>5</v>
      </c>
      <c r="F102" s="13">
        <f t="shared" si="2"/>
        <v>0.0006</v>
      </c>
      <c r="G102" s="13" t="str">
        <f t="shared" si="3"/>
        <v>Normal</v>
      </c>
      <c r="H102" s="13" t="str">
        <f t="shared" si="4"/>
        <v>Morning</v>
      </c>
      <c r="I102" s="13">
        <f t="shared" si="5"/>
        <v>1</v>
      </c>
      <c r="J102" s="14" t="str">
        <f t="shared" si="6"/>
        <v>AC</v>
      </c>
      <c r="K102" s="15">
        <f t="shared" si="7"/>
        <v>6</v>
      </c>
      <c r="M102" s="15">
        <f t="shared" si="8"/>
        <v>0.8567001115</v>
      </c>
    </row>
    <row r="103">
      <c r="A103" s="10">
        <v>42370.209502314814</v>
      </c>
      <c r="B103" s="11">
        <v>0.951366667</v>
      </c>
      <c r="C103" s="11">
        <v>35.87</v>
      </c>
      <c r="D103" s="11">
        <v>0.61</v>
      </c>
      <c r="E103" s="12">
        <f t="shared" si="1"/>
        <v>5</v>
      </c>
      <c r="F103" s="13">
        <f t="shared" si="2"/>
        <v>0.001</v>
      </c>
      <c r="G103" s="13" t="str">
        <f t="shared" si="3"/>
        <v>High</v>
      </c>
      <c r="H103" s="13" t="str">
        <f t="shared" si="4"/>
        <v>Morning</v>
      </c>
      <c r="I103" s="13">
        <f t="shared" si="5"/>
        <v>2</v>
      </c>
      <c r="J103" s="14" t="str">
        <f t="shared" si="6"/>
        <v>Heater</v>
      </c>
      <c r="K103" s="15">
        <f t="shared" si="7"/>
        <v>7</v>
      </c>
      <c r="M103" s="15">
        <f t="shared" si="8"/>
        <v>0.8567001115</v>
      </c>
    </row>
    <row r="104">
      <c r="A104" s="10">
        <v>42370.20951388888</v>
      </c>
      <c r="B104" s="11">
        <v>0.981</v>
      </c>
      <c r="C104" s="11">
        <v>35.87</v>
      </c>
      <c r="D104" s="11">
        <v>0.61</v>
      </c>
      <c r="E104" s="12">
        <f t="shared" si="1"/>
        <v>5</v>
      </c>
      <c r="F104" s="13">
        <f t="shared" si="2"/>
        <v>0.001</v>
      </c>
      <c r="G104" s="13" t="str">
        <f t="shared" si="3"/>
        <v>High</v>
      </c>
      <c r="H104" s="13" t="str">
        <f t="shared" si="4"/>
        <v>Morning</v>
      </c>
      <c r="I104" s="13">
        <f t="shared" si="5"/>
        <v>3</v>
      </c>
      <c r="J104" s="14" t="str">
        <f t="shared" si="6"/>
        <v>Fridge</v>
      </c>
      <c r="K104" s="15">
        <f t="shared" si="7"/>
        <v>8</v>
      </c>
      <c r="M104" s="15">
        <f t="shared" si="8"/>
        <v>0.8567001115</v>
      </c>
    </row>
    <row r="105">
      <c r="A105" s="10">
        <v>42370.20952546297</v>
      </c>
      <c r="B105" s="11">
        <v>1.0481</v>
      </c>
      <c r="C105" s="11">
        <v>35.87</v>
      </c>
      <c r="D105" s="11">
        <v>0.61</v>
      </c>
      <c r="E105" s="12">
        <f t="shared" si="1"/>
        <v>5</v>
      </c>
      <c r="F105" s="13">
        <f t="shared" si="2"/>
        <v>0.001</v>
      </c>
      <c r="G105" s="13" t="str">
        <f t="shared" si="3"/>
        <v>High</v>
      </c>
      <c r="H105" s="13" t="str">
        <f t="shared" si="4"/>
        <v>Morning</v>
      </c>
      <c r="I105" s="13">
        <f t="shared" si="5"/>
        <v>1</v>
      </c>
      <c r="J105" s="14" t="str">
        <f t="shared" si="6"/>
        <v>AC</v>
      </c>
      <c r="K105" s="15">
        <f t="shared" si="7"/>
        <v>9</v>
      </c>
      <c r="M105" s="15">
        <f t="shared" si="8"/>
        <v>0.8567001115</v>
      </c>
    </row>
    <row r="106">
      <c r="A106" s="10">
        <v>42370.20953703704</v>
      </c>
      <c r="B106" s="11">
        <v>1.376433333</v>
      </c>
      <c r="C106" s="11">
        <v>35.87</v>
      </c>
      <c r="D106" s="11">
        <v>0.61</v>
      </c>
      <c r="E106" s="12">
        <f t="shared" si="1"/>
        <v>5</v>
      </c>
      <c r="F106" s="13">
        <f t="shared" si="2"/>
        <v>0.0014</v>
      </c>
      <c r="G106" s="13" t="str">
        <f t="shared" si="3"/>
        <v>High</v>
      </c>
      <c r="H106" s="13" t="str">
        <f t="shared" si="4"/>
        <v>Morning</v>
      </c>
      <c r="I106" s="13">
        <f t="shared" si="5"/>
        <v>2</v>
      </c>
      <c r="J106" s="14" t="str">
        <f t="shared" si="6"/>
        <v>Heater</v>
      </c>
      <c r="K106" s="15">
        <f t="shared" si="7"/>
        <v>10</v>
      </c>
      <c r="M106" s="15">
        <f t="shared" si="8"/>
        <v>0.8567001115</v>
      </c>
    </row>
    <row r="107">
      <c r="A107" s="10">
        <v>42370.20954861111</v>
      </c>
      <c r="B107" s="11">
        <v>1.616016667</v>
      </c>
      <c r="C107" s="11">
        <v>35.87</v>
      </c>
      <c r="D107" s="11">
        <v>0.61</v>
      </c>
      <c r="E107" s="12">
        <f t="shared" si="1"/>
        <v>5</v>
      </c>
      <c r="F107" s="13">
        <f t="shared" si="2"/>
        <v>0.0016</v>
      </c>
      <c r="G107" s="13" t="str">
        <f t="shared" si="3"/>
        <v>High</v>
      </c>
      <c r="H107" s="13" t="str">
        <f t="shared" si="4"/>
        <v>Morning</v>
      </c>
      <c r="I107" s="13">
        <f t="shared" si="5"/>
        <v>3</v>
      </c>
      <c r="J107" s="14" t="str">
        <f t="shared" si="6"/>
        <v>Fridge</v>
      </c>
      <c r="K107" s="15">
        <f t="shared" si="7"/>
        <v>11</v>
      </c>
      <c r="M107" s="15">
        <f t="shared" si="8"/>
        <v>0.8567001115</v>
      </c>
    </row>
    <row r="108">
      <c r="A108" s="10">
        <v>42370.20956018519</v>
      </c>
      <c r="B108" s="11">
        <v>1.613416667</v>
      </c>
      <c r="C108" s="11">
        <v>35.87</v>
      </c>
      <c r="D108" s="11">
        <v>0.61</v>
      </c>
      <c r="E108" s="12">
        <f t="shared" si="1"/>
        <v>5</v>
      </c>
      <c r="F108" s="13">
        <f t="shared" si="2"/>
        <v>0.0016</v>
      </c>
      <c r="G108" s="13" t="str">
        <f t="shared" si="3"/>
        <v>High</v>
      </c>
      <c r="H108" s="13" t="str">
        <f t="shared" si="4"/>
        <v>Afternoon</v>
      </c>
      <c r="I108" s="13">
        <f t="shared" si="5"/>
        <v>1</v>
      </c>
      <c r="J108" s="14" t="str">
        <f t="shared" si="6"/>
        <v>AC</v>
      </c>
      <c r="K108" s="15">
        <f t="shared" si="7"/>
        <v>12</v>
      </c>
      <c r="M108" s="15">
        <f t="shared" si="8"/>
        <v>0.8567001115</v>
      </c>
    </row>
    <row r="109">
      <c r="A109" s="10">
        <v>42370.20957175926</v>
      </c>
      <c r="B109" s="11">
        <v>1.573383333</v>
      </c>
      <c r="C109" s="11">
        <v>35.87</v>
      </c>
      <c r="D109" s="11">
        <v>0.61</v>
      </c>
      <c r="E109" s="12">
        <f t="shared" si="1"/>
        <v>5</v>
      </c>
      <c r="F109" s="13">
        <f t="shared" si="2"/>
        <v>0.0016</v>
      </c>
      <c r="G109" s="13" t="str">
        <f t="shared" si="3"/>
        <v>High</v>
      </c>
      <c r="H109" s="13" t="str">
        <f t="shared" si="4"/>
        <v>Afternoon</v>
      </c>
      <c r="I109" s="13">
        <f t="shared" si="5"/>
        <v>2</v>
      </c>
      <c r="J109" s="14" t="str">
        <f t="shared" si="6"/>
        <v>Heater</v>
      </c>
      <c r="K109" s="15">
        <f t="shared" si="7"/>
        <v>13</v>
      </c>
      <c r="M109" s="15">
        <f t="shared" si="8"/>
        <v>0.8567001115</v>
      </c>
    </row>
    <row r="110">
      <c r="A110" s="10">
        <v>42370.20958333333</v>
      </c>
      <c r="B110" s="11">
        <v>1.44585</v>
      </c>
      <c r="C110" s="11">
        <v>35.87</v>
      </c>
      <c r="D110" s="11">
        <v>0.61</v>
      </c>
      <c r="E110" s="12">
        <f t="shared" si="1"/>
        <v>5</v>
      </c>
      <c r="F110" s="13">
        <f t="shared" si="2"/>
        <v>0.0014</v>
      </c>
      <c r="G110" s="13" t="str">
        <f t="shared" si="3"/>
        <v>High</v>
      </c>
      <c r="H110" s="13" t="str">
        <f t="shared" si="4"/>
        <v>Afternoon</v>
      </c>
      <c r="I110" s="13">
        <f t="shared" si="5"/>
        <v>3</v>
      </c>
      <c r="J110" s="14" t="str">
        <f t="shared" si="6"/>
        <v>Fridge</v>
      </c>
      <c r="K110" s="15">
        <f t="shared" si="7"/>
        <v>14</v>
      </c>
      <c r="M110" s="15">
        <f t="shared" si="8"/>
        <v>0.8567001115</v>
      </c>
    </row>
    <row r="111">
      <c r="A111" s="10">
        <v>42370.20959490741</v>
      </c>
      <c r="B111" s="11">
        <v>0.940916667</v>
      </c>
      <c r="C111" s="11">
        <v>35.87</v>
      </c>
      <c r="D111" s="11">
        <v>0.61</v>
      </c>
      <c r="E111" s="12">
        <f t="shared" si="1"/>
        <v>5</v>
      </c>
      <c r="F111" s="13">
        <f t="shared" si="2"/>
        <v>0.0009</v>
      </c>
      <c r="G111" s="13" t="str">
        <f t="shared" si="3"/>
        <v>High</v>
      </c>
      <c r="H111" s="13" t="str">
        <f t="shared" si="4"/>
        <v>Afternoon</v>
      </c>
      <c r="I111" s="13">
        <f t="shared" si="5"/>
        <v>1</v>
      </c>
      <c r="J111" s="14" t="str">
        <f t="shared" si="6"/>
        <v>AC</v>
      </c>
      <c r="K111" s="15">
        <f t="shared" si="7"/>
        <v>15</v>
      </c>
      <c r="M111" s="15">
        <f t="shared" si="8"/>
        <v>0.8567001115</v>
      </c>
    </row>
    <row r="112">
      <c r="A112" s="10">
        <v>42370.20960648148</v>
      </c>
      <c r="B112" s="11">
        <v>0.418883333</v>
      </c>
      <c r="C112" s="11">
        <v>35.87</v>
      </c>
      <c r="D112" s="11">
        <v>0.61</v>
      </c>
      <c r="E112" s="12">
        <f t="shared" si="1"/>
        <v>5</v>
      </c>
      <c r="F112" s="13">
        <f t="shared" si="2"/>
        <v>0.0004</v>
      </c>
      <c r="G112" s="13" t="str">
        <f t="shared" si="3"/>
        <v>Normal</v>
      </c>
      <c r="H112" s="13" t="str">
        <f t="shared" si="4"/>
        <v>Afternoon</v>
      </c>
      <c r="I112" s="13">
        <f t="shared" si="5"/>
        <v>2</v>
      </c>
      <c r="J112" s="14" t="str">
        <f t="shared" si="6"/>
        <v>Heater</v>
      </c>
      <c r="K112" s="15">
        <f t="shared" si="7"/>
        <v>16</v>
      </c>
      <c r="M112" s="15">
        <f t="shared" si="8"/>
        <v>0.8567001115</v>
      </c>
    </row>
    <row r="113">
      <c r="A113" s="10">
        <v>42370.20961805555</v>
      </c>
      <c r="B113" s="11">
        <v>0.41945</v>
      </c>
      <c r="C113" s="11">
        <v>35.87</v>
      </c>
      <c r="D113" s="11">
        <v>0.61</v>
      </c>
      <c r="E113" s="12">
        <f t="shared" si="1"/>
        <v>5</v>
      </c>
      <c r="F113" s="13">
        <f t="shared" si="2"/>
        <v>0.0004</v>
      </c>
      <c r="G113" s="13" t="str">
        <f t="shared" si="3"/>
        <v>Normal</v>
      </c>
      <c r="H113" s="13" t="str">
        <f t="shared" si="4"/>
        <v>Afternoon</v>
      </c>
      <c r="I113" s="13">
        <f t="shared" si="5"/>
        <v>3</v>
      </c>
      <c r="J113" s="14" t="str">
        <f t="shared" si="6"/>
        <v>Fridge</v>
      </c>
      <c r="K113" s="15">
        <f t="shared" si="7"/>
        <v>17</v>
      </c>
      <c r="M113" s="15">
        <f t="shared" si="8"/>
        <v>0.8567001115</v>
      </c>
    </row>
    <row r="114">
      <c r="A114" s="10">
        <v>42370.20962962963</v>
      </c>
      <c r="B114" s="11">
        <v>0.418216667</v>
      </c>
      <c r="C114" s="11">
        <v>35.87</v>
      </c>
      <c r="D114" s="11">
        <v>0.61</v>
      </c>
      <c r="E114" s="12">
        <f t="shared" si="1"/>
        <v>5</v>
      </c>
      <c r="F114" s="13">
        <f t="shared" si="2"/>
        <v>0.0004</v>
      </c>
      <c r="G114" s="13" t="str">
        <f t="shared" si="3"/>
        <v>Normal</v>
      </c>
      <c r="H114" s="13" t="str">
        <f t="shared" si="4"/>
        <v>Evening</v>
      </c>
      <c r="I114" s="13">
        <f t="shared" si="5"/>
        <v>1</v>
      </c>
      <c r="J114" s="14" t="str">
        <f t="shared" si="6"/>
        <v>AC</v>
      </c>
      <c r="K114" s="15">
        <f t="shared" si="7"/>
        <v>18</v>
      </c>
      <c r="M114" s="15">
        <f t="shared" si="8"/>
        <v>0.8567001115</v>
      </c>
    </row>
    <row r="115">
      <c r="A115" s="10">
        <v>42370.209641203706</v>
      </c>
      <c r="B115" s="11">
        <v>0.4286</v>
      </c>
      <c r="C115" s="11">
        <v>35.87</v>
      </c>
      <c r="D115" s="11">
        <v>0.61</v>
      </c>
      <c r="E115" s="12">
        <f t="shared" si="1"/>
        <v>5</v>
      </c>
      <c r="F115" s="13">
        <f t="shared" si="2"/>
        <v>0.0004</v>
      </c>
      <c r="G115" s="13" t="str">
        <f t="shared" si="3"/>
        <v>Normal</v>
      </c>
      <c r="H115" s="13" t="str">
        <f t="shared" si="4"/>
        <v>Evening</v>
      </c>
      <c r="I115" s="13">
        <f t="shared" si="5"/>
        <v>2</v>
      </c>
      <c r="J115" s="14" t="str">
        <f t="shared" si="6"/>
        <v>Heater</v>
      </c>
      <c r="K115" s="15">
        <f t="shared" si="7"/>
        <v>19</v>
      </c>
      <c r="M115" s="15">
        <f t="shared" si="8"/>
        <v>0.8567001115</v>
      </c>
    </row>
    <row r="116">
      <c r="A116" s="10">
        <v>42370.209652777776</v>
      </c>
      <c r="B116" s="11">
        <v>0.43665</v>
      </c>
      <c r="C116" s="11">
        <v>35.87</v>
      </c>
      <c r="D116" s="11">
        <v>0.61</v>
      </c>
      <c r="E116" s="12">
        <f t="shared" si="1"/>
        <v>5</v>
      </c>
      <c r="F116" s="13">
        <f t="shared" si="2"/>
        <v>0.0004</v>
      </c>
      <c r="G116" s="13" t="str">
        <f t="shared" si="3"/>
        <v>Normal</v>
      </c>
      <c r="H116" s="13" t="str">
        <f t="shared" si="4"/>
        <v>Evening</v>
      </c>
      <c r="I116" s="13">
        <f t="shared" si="5"/>
        <v>3</v>
      </c>
      <c r="J116" s="14" t="str">
        <f t="shared" si="6"/>
        <v>Fridge</v>
      </c>
      <c r="K116" s="15">
        <f t="shared" si="7"/>
        <v>20</v>
      </c>
      <c r="M116" s="15">
        <f t="shared" si="8"/>
        <v>0.8567001115</v>
      </c>
    </row>
    <row r="117">
      <c r="A117" s="10">
        <v>42370.20966435185</v>
      </c>
      <c r="B117" s="11">
        <v>0.443233333</v>
      </c>
      <c r="C117" s="11">
        <v>35.87</v>
      </c>
      <c r="D117" s="11">
        <v>0.61</v>
      </c>
      <c r="E117" s="12">
        <f t="shared" si="1"/>
        <v>5</v>
      </c>
      <c r="F117" s="13">
        <f t="shared" si="2"/>
        <v>0.0004</v>
      </c>
      <c r="G117" s="13" t="str">
        <f t="shared" si="3"/>
        <v>Normal</v>
      </c>
      <c r="H117" s="13" t="str">
        <f t="shared" si="4"/>
        <v>Evening</v>
      </c>
      <c r="I117" s="13">
        <f t="shared" si="5"/>
        <v>1</v>
      </c>
      <c r="J117" s="14" t="str">
        <f t="shared" si="6"/>
        <v>AC</v>
      </c>
      <c r="K117" s="15">
        <f t="shared" si="7"/>
        <v>21</v>
      </c>
      <c r="M117" s="15">
        <f t="shared" si="8"/>
        <v>0.8567001115</v>
      </c>
    </row>
    <row r="118">
      <c r="A118" s="10">
        <v>42370.20967592593</v>
      </c>
      <c r="B118" s="11">
        <v>0.6316</v>
      </c>
      <c r="C118" s="11">
        <v>35.4</v>
      </c>
      <c r="D118" s="11">
        <v>0.61</v>
      </c>
      <c r="E118" s="12">
        <f t="shared" si="1"/>
        <v>5</v>
      </c>
      <c r="F118" s="13">
        <f t="shared" si="2"/>
        <v>0.0006</v>
      </c>
      <c r="G118" s="13" t="str">
        <f t="shared" si="3"/>
        <v>Normal</v>
      </c>
      <c r="H118" s="13" t="str">
        <f t="shared" si="4"/>
        <v>Evening</v>
      </c>
      <c r="I118" s="13">
        <f t="shared" si="5"/>
        <v>2</v>
      </c>
      <c r="J118" s="14" t="str">
        <f t="shared" si="6"/>
        <v>Heater</v>
      </c>
      <c r="K118" s="15">
        <f t="shared" si="7"/>
        <v>22</v>
      </c>
      <c r="M118" s="15">
        <f t="shared" si="8"/>
        <v>0.8567001115</v>
      </c>
    </row>
    <row r="119">
      <c r="A119" s="10">
        <v>42370.2096875</v>
      </c>
      <c r="B119" s="11">
        <v>1.070016667</v>
      </c>
      <c r="C119" s="11">
        <v>35.4</v>
      </c>
      <c r="D119" s="11">
        <v>0.61</v>
      </c>
      <c r="E119" s="12">
        <f t="shared" si="1"/>
        <v>5</v>
      </c>
      <c r="F119" s="13">
        <f t="shared" si="2"/>
        <v>0.0011</v>
      </c>
      <c r="G119" s="13" t="str">
        <f t="shared" si="3"/>
        <v>High</v>
      </c>
      <c r="H119" s="13" t="str">
        <f t="shared" si="4"/>
        <v>Evening</v>
      </c>
      <c r="I119" s="13">
        <f t="shared" si="5"/>
        <v>3</v>
      </c>
      <c r="J119" s="14" t="str">
        <f t="shared" si="6"/>
        <v>Fridge</v>
      </c>
      <c r="K119" s="15">
        <f t="shared" si="7"/>
        <v>23</v>
      </c>
      <c r="M119" s="15">
        <f t="shared" si="8"/>
        <v>0.8567001115</v>
      </c>
    </row>
    <row r="120">
      <c r="A120" s="10">
        <v>42370.209699074076</v>
      </c>
      <c r="B120" s="11">
        <v>1.01625</v>
      </c>
      <c r="C120" s="11">
        <v>35.4</v>
      </c>
      <c r="D120" s="11">
        <v>0.61</v>
      </c>
      <c r="E120" s="12">
        <f t="shared" si="1"/>
        <v>5</v>
      </c>
      <c r="F120" s="13">
        <f t="shared" si="2"/>
        <v>0.001</v>
      </c>
      <c r="G120" s="13" t="str">
        <f t="shared" si="3"/>
        <v>High</v>
      </c>
      <c r="H120" s="13" t="str">
        <f t="shared" si="4"/>
        <v>Night</v>
      </c>
      <c r="I120" s="13">
        <f t="shared" si="5"/>
        <v>1</v>
      </c>
      <c r="J120" s="14" t="str">
        <f t="shared" si="6"/>
        <v>AC</v>
      </c>
      <c r="K120" s="15">
        <f t="shared" si="7"/>
        <v>0</v>
      </c>
      <c r="M120" s="15">
        <f t="shared" si="8"/>
        <v>0.8567001115</v>
      </c>
    </row>
    <row r="121">
      <c r="A121" s="10">
        <v>42370.20971064815</v>
      </c>
      <c r="B121" s="11">
        <v>0.820666667</v>
      </c>
      <c r="C121" s="11">
        <v>35.4</v>
      </c>
      <c r="D121" s="11">
        <v>0.61</v>
      </c>
      <c r="E121" s="12">
        <f t="shared" si="1"/>
        <v>5</v>
      </c>
      <c r="F121" s="13">
        <f t="shared" si="2"/>
        <v>0.0008</v>
      </c>
      <c r="G121" s="13" t="str">
        <f t="shared" si="3"/>
        <v>Normal</v>
      </c>
      <c r="H121" s="13" t="str">
        <f t="shared" si="4"/>
        <v>Night</v>
      </c>
      <c r="I121" s="13">
        <f t="shared" si="5"/>
        <v>2</v>
      </c>
      <c r="J121" s="14" t="str">
        <f t="shared" si="6"/>
        <v>Heater</v>
      </c>
      <c r="K121" s="15">
        <f t="shared" si="7"/>
        <v>1</v>
      </c>
      <c r="M121" s="15">
        <f t="shared" si="8"/>
        <v>0.8567001115</v>
      </c>
    </row>
    <row r="122">
      <c r="A122" s="10">
        <v>42370.20972222222</v>
      </c>
      <c r="B122" s="11">
        <v>0.539166667</v>
      </c>
      <c r="C122" s="11">
        <v>35.4</v>
      </c>
      <c r="D122" s="11">
        <v>0.61</v>
      </c>
      <c r="E122" s="12">
        <f t="shared" si="1"/>
        <v>5</v>
      </c>
      <c r="F122" s="13">
        <f t="shared" si="2"/>
        <v>0.0005</v>
      </c>
      <c r="G122" s="13" t="str">
        <f t="shared" si="3"/>
        <v>Normal</v>
      </c>
      <c r="H122" s="13" t="str">
        <f t="shared" si="4"/>
        <v>Night</v>
      </c>
      <c r="I122" s="13">
        <f t="shared" si="5"/>
        <v>3</v>
      </c>
      <c r="J122" s="14" t="str">
        <f t="shared" si="6"/>
        <v>Fridge</v>
      </c>
      <c r="K122" s="15">
        <f t="shared" si="7"/>
        <v>2</v>
      </c>
      <c r="M122" s="15">
        <f t="shared" si="8"/>
        <v>0.8567001115</v>
      </c>
    </row>
    <row r="123">
      <c r="A123" s="10">
        <v>42370.20973379629</v>
      </c>
      <c r="B123" s="11">
        <v>0.564366667</v>
      </c>
      <c r="C123" s="11">
        <v>35.4</v>
      </c>
      <c r="D123" s="11">
        <v>0.61</v>
      </c>
      <c r="E123" s="12">
        <f t="shared" si="1"/>
        <v>5</v>
      </c>
      <c r="F123" s="13">
        <f t="shared" si="2"/>
        <v>0.0006</v>
      </c>
      <c r="G123" s="13" t="str">
        <f t="shared" si="3"/>
        <v>Normal</v>
      </c>
      <c r="H123" s="13" t="str">
        <f t="shared" si="4"/>
        <v>Night</v>
      </c>
      <c r="I123" s="13">
        <f t="shared" si="5"/>
        <v>1</v>
      </c>
      <c r="J123" s="14" t="str">
        <f t="shared" si="6"/>
        <v>AC</v>
      </c>
      <c r="K123" s="15">
        <f t="shared" si="7"/>
        <v>3</v>
      </c>
      <c r="M123" s="15">
        <f t="shared" si="8"/>
        <v>0.8567001115</v>
      </c>
    </row>
    <row r="124">
      <c r="A124" s="10">
        <v>42370.209745370375</v>
      </c>
      <c r="B124" s="11">
        <v>0.9612</v>
      </c>
      <c r="C124" s="11">
        <v>35.4</v>
      </c>
      <c r="D124" s="11">
        <v>0.61</v>
      </c>
      <c r="E124" s="12">
        <f t="shared" si="1"/>
        <v>5</v>
      </c>
      <c r="F124" s="13">
        <f t="shared" si="2"/>
        <v>0.001</v>
      </c>
      <c r="G124" s="13" t="str">
        <f t="shared" si="3"/>
        <v>High</v>
      </c>
      <c r="H124" s="13" t="str">
        <f t="shared" si="4"/>
        <v>Night</v>
      </c>
      <c r="I124" s="13">
        <f t="shared" si="5"/>
        <v>2</v>
      </c>
      <c r="J124" s="14" t="str">
        <f t="shared" si="6"/>
        <v>Heater</v>
      </c>
      <c r="K124" s="15">
        <f t="shared" si="7"/>
        <v>4</v>
      </c>
      <c r="M124" s="15">
        <f t="shared" si="8"/>
        <v>0.8567001115</v>
      </c>
    </row>
    <row r="125">
      <c r="A125" s="10">
        <v>42370.209756944445</v>
      </c>
      <c r="B125" s="11">
        <v>1.2237</v>
      </c>
      <c r="C125" s="11">
        <v>35.4</v>
      </c>
      <c r="D125" s="11">
        <v>0.61</v>
      </c>
      <c r="E125" s="12">
        <f t="shared" si="1"/>
        <v>5</v>
      </c>
      <c r="F125" s="13">
        <f t="shared" si="2"/>
        <v>0.0012</v>
      </c>
      <c r="G125" s="13" t="str">
        <f t="shared" si="3"/>
        <v>High</v>
      </c>
      <c r="H125" s="13" t="str">
        <f t="shared" si="4"/>
        <v>Night</v>
      </c>
      <c r="I125" s="13">
        <f t="shared" si="5"/>
        <v>3</v>
      </c>
      <c r="J125" s="14" t="str">
        <f t="shared" si="6"/>
        <v>Fridge</v>
      </c>
      <c r="K125" s="15">
        <f t="shared" si="7"/>
        <v>5</v>
      </c>
      <c r="M125" s="15">
        <f t="shared" si="8"/>
        <v>0.8567001115</v>
      </c>
    </row>
    <row r="126">
      <c r="A126" s="10">
        <v>42370.209768518514</v>
      </c>
      <c r="B126" s="11">
        <v>1.1087</v>
      </c>
      <c r="C126" s="11">
        <v>35.4</v>
      </c>
      <c r="D126" s="11">
        <v>0.61</v>
      </c>
      <c r="E126" s="12">
        <f t="shared" si="1"/>
        <v>5</v>
      </c>
      <c r="F126" s="13">
        <f t="shared" si="2"/>
        <v>0.0011</v>
      </c>
      <c r="G126" s="13" t="str">
        <f t="shared" si="3"/>
        <v>High</v>
      </c>
      <c r="H126" s="13" t="str">
        <f t="shared" si="4"/>
        <v>Morning</v>
      </c>
      <c r="I126" s="13">
        <f t="shared" si="5"/>
        <v>1</v>
      </c>
      <c r="J126" s="14" t="str">
        <f t="shared" si="6"/>
        <v>AC</v>
      </c>
      <c r="K126" s="15">
        <f t="shared" si="7"/>
        <v>6</v>
      </c>
      <c r="M126" s="15">
        <f t="shared" si="8"/>
        <v>0.8567001115</v>
      </c>
    </row>
    <row r="127">
      <c r="A127" s="10">
        <v>42370.20978009259</v>
      </c>
      <c r="B127" s="11">
        <v>1.08495</v>
      </c>
      <c r="C127" s="11">
        <v>35.4</v>
      </c>
      <c r="D127" s="11">
        <v>0.61</v>
      </c>
      <c r="E127" s="12">
        <f t="shared" si="1"/>
        <v>5</v>
      </c>
      <c r="F127" s="13">
        <f t="shared" si="2"/>
        <v>0.0011</v>
      </c>
      <c r="G127" s="13" t="str">
        <f t="shared" si="3"/>
        <v>High</v>
      </c>
      <c r="H127" s="13" t="str">
        <f t="shared" si="4"/>
        <v>Morning</v>
      </c>
      <c r="I127" s="13">
        <f t="shared" si="5"/>
        <v>2</v>
      </c>
      <c r="J127" s="14" t="str">
        <f t="shared" si="6"/>
        <v>Heater</v>
      </c>
      <c r="K127" s="15">
        <f t="shared" si="7"/>
        <v>7</v>
      </c>
      <c r="M127" s="15">
        <f t="shared" si="8"/>
        <v>0.8567001115</v>
      </c>
    </row>
    <row r="128">
      <c r="A128" s="10">
        <v>42370.20979166667</v>
      </c>
      <c r="B128" s="11">
        <v>0.577566667</v>
      </c>
      <c r="C128" s="11">
        <v>35.4</v>
      </c>
      <c r="D128" s="11">
        <v>0.61</v>
      </c>
      <c r="E128" s="12">
        <f t="shared" si="1"/>
        <v>5</v>
      </c>
      <c r="F128" s="13">
        <f t="shared" si="2"/>
        <v>0.0006</v>
      </c>
      <c r="G128" s="13" t="str">
        <f t="shared" si="3"/>
        <v>Normal</v>
      </c>
      <c r="H128" s="13" t="str">
        <f t="shared" si="4"/>
        <v>Morning</v>
      </c>
      <c r="I128" s="13">
        <f t="shared" si="5"/>
        <v>3</v>
      </c>
      <c r="J128" s="14" t="str">
        <f t="shared" si="6"/>
        <v>Fridge</v>
      </c>
      <c r="K128" s="15">
        <f t="shared" si="7"/>
        <v>8</v>
      </c>
      <c r="M128" s="15">
        <f t="shared" si="8"/>
        <v>0.8567001115</v>
      </c>
    </row>
    <row r="129">
      <c r="A129" s="10">
        <v>42370.20980324074</v>
      </c>
      <c r="B129" s="11">
        <v>0.426083333</v>
      </c>
      <c r="C129" s="11">
        <v>35.4</v>
      </c>
      <c r="D129" s="11">
        <v>0.61</v>
      </c>
      <c r="E129" s="12">
        <f t="shared" si="1"/>
        <v>5</v>
      </c>
      <c r="F129" s="13">
        <f t="shared" si="2"/>
        <v>0.0004</v>
      </c>
      <c r="G129" s="13" t="str">
        <f t="shared" si="3"/>
        <v>Normal</v>
      </c>
      <c r="H129" s="13" t="str">
        <f t="shared" si="4"/>
        <v>Morning</v>
      </c>
      <c r="I129" s="13">
        <f t="shared" si="5"/>
        <v>1</v>
      </c>
      <c r="J129" s="14" t="str">
        <f t="shared" si="6"/>
        <v>AC</v>
      </c>
      <c r="K129" s="15">
        <f t="shared" si="7"/>
        <v>9</v>
      </c>
      <c r="M129" s="15">
        <f t="shared" si="8"/>
        <v>0.8567001115</v>
      </c>
    </row>
    <row r="130">
      <c r="A130" s="10">
        <v>42370.209814814814</v>
      </c>
      <c r="B130" s="11">
        <v>0.47175</v>
      </c>
      <c r="C130" s="11">
        <v>35.4</v>
      </c>
      <c r="D130" s="11">
        <v>0.61</v>
      </c>
      <c r="E130" s="12">
        <f t="shared" si="1"/>
        <v>5</v>
      </c>
      <c r="F130" s="13">
        <f t="shared" si="2"/>
        <v>0.0005</v>
      </c>
      <c r="G130" s="13" t="str">
        <f t="shared" si="3"/>
        <v>Normal</v>
      </c>
      <c r="H130" s="13" t="str">
        <f t="shared" si="4"/>
        <v>Morning</v>
      </c>
      <c r="I130" s="13">
        <f t="shared" si="5"/>
        <v>2</v>
      </c>
      <c r="J130" s="14" t="str">
        <f t="shared" si="6"/>
        <v>Heater</v>
      </c>
      <c r="K130" s="15">
        <f t="shared" si="7"/>
        <v>10</v>
      </c>
      <c r="M130" s="15">
        <f t="shared" si="8"/>
        <v>0.8567001115</v>
      </c>
    </row>
    <row r="131">
      <c r="A131" s="10">
        <v>42370.20982638889</v>
      </c>
      <c r="B131" s="11">
        <v>0.485883333</v>
      </c>
      <c r="C131" s="11">
        <v>35.4</v>
      </c>
      <c r="D131" s="11">
        <v>0.61</v>
      </c>
      <c r="E131" s="12">
        <f t="shared" si="1"/>
        <v>5</v>
      </c>
      <c r="F131" s="13">
        <f t="shared" si="2"/>
        <v>0.0005</v>
      </c>
      <c r="G131" s="13" t="str">
        <f t="shared" si="3"/>
        <v>Normal</v>
      </c>
      <c r="H131" s="13" t="str">
        <f t="shared" si="4"/>
        <v>Morning</v>
      </c>
      <c r="I131" s="13">
        <f t="shared" si="5"/>
        <v>3</v>
      </c>
      <c r="J131" s="14" t="str">
        <f t="shared" si="6"/>
        <v>Fridge</v>
      </c>
      <c r="K131" s="15">
        <f t="shared" si="7"/>
        <v>11</v>
      </c>
      <c r="M131" s="15">
        <f t="shared" si="8"/>
        <v>0.8567001115</v>
      </c>
    </row>
    <row r="132">
      <c r="A132" s="10">
        <v>42370.20983796296</v>
      </c>
      <c r="B132" s="11">
        <v>0.735183333</v>
      </c>
      <c r="C132" s="11">
        <v>35.4</v>
      </c>
      <c r="D132" s="11">
        <v>0.61</v>
      </c>
      <c r="E132" s="12">
        <f t="shared" si="1"/>
        <v>5</v>
      </c>
      <c r="F132" s="13">
        <f t="shared" si="2"/>
        <v>0.0007</v>
      </c>
      <c r="G132" s="13" t="str">
        <f t="shared" si="3"/>
        <v>Normal</v>
      </c>
      <c r="H132" s="13" t="str">
        <f t="shared" si="4"/>
        <v>Afternoon</v>
      </c>
      <c r="I132" s="13">
        <f t="shared" si="5"/>
        <v>1</v>
      </c>
      <c r="J132" s="14" t="str">
        <f t="shared" si="6"/>
        <v>AC</v>
      </c>
      <c r="K132" s="15">
        <f t="shared" si="7"/>
        <v>12</v>
      </c>
      <c r="M132" s="15">
        <f t="shared" si="8"/>
        <v>0.8567001115</v>
      </c>
    </row>
    <row r="133">
      <c r="A133" s="10">
        <v>42370.20984953704</v>
      </c>
      <c r="B133" s="11">
        <v>0.729083333</v>
      </c>
      <c r="C133" s="11">
        <v>35.4</v>
      </c>
      <c r="D133" s="11">
        <v>0.61</v>
      </c>
      <c r="E133" s="12">
        <f t="shared" si="1"/>
        <v>5</v>
      </c>
      <c r="F133" s="13">
        <f t="shared" si="2"/>
        <v>0.0007</v>
      </c>
      <c r="G133" s="13" t="str">
        <f t="shared" si="3"/>
        <v>Normal</v>
      </c>
      <c r="H133" s="13" t="str">
        <f t="shared" si="4"/>
        <v>Afternoon</v>
      </c>
      <c r="I133" s="13">
        <f t="shared" si="5"/>
        <v>2</v>
      </c>
      <c r="J133" s="14" t="str">
        <f t="shared" si="6"/>
        <v>Heater</v>
      </c>
      <c r="K133" s="15">
        <f t="shared" si="7"/>
        <v>13</v>
      </c>
      <c r="M133" s="15">
        <f t="shared" si="8"/>
        <v>0.8567001115</v>
      </c>
    </row>
    <row r="134">
      <c r="A134" s="10">
        <v>42370.209861111114</v>
      </c>
      <c r="B134" s="11">
        <v>0.461833333</v>
      </c>
      <c r="C134" s="11">
        <v>35.4</v>
      </c>
      <c r="D134" s="11">
        <v>0.61</v>
      </c>
      <c r="E134" s="12">
        <f t="shared" si="1"/>
        <v>5</v>
      </c>
      <c r="F134" s="13">
        <f t="shared" si="2"/>
        <v>0.0005</v>
      </c>
      <c r="G134" s="13" t="str">
        <f t="shared" si="3"/>
        <v>Normal</v>
      </c>
      <c r="H134" s="13" t="str">
        <f t="shared" si="4"/>
        <v>Afternoon</v>
      </c>
      <c r="I134" s="13">
        <f t="shared" si="5"/>
        <v>3</v>
      </c>
      <c r="J134" s="14" t="str">
        <f t="shared" si="6"/>
        <v>Fridge</v>
      </c>
      <c r="K134" s="15">
        <f t="shared" si="7"/>
        <v>14</v>
      </c>
      <c r="M134" s="15">
        <f t="shared" si="8"/>
        <v>0.8567001115</v>
      </c>
    </row>
    <row r="135">
      <c r="A135" s="10">
        <v>42370.209872685184</v>
      </c>
      <c r="B135" s="11">
        <v>0.308316667</v>
      </c>
      <c r="C135" s="11">
        <v>35.4</v>
      </c>
      <c r="D135" s="11">
        <v>0.61</v>
      </c>
      <c r="E135" s="12">
        <f t="shared" si="1"/>
        <v>5</v>
      </c>
      <c r="F135" s="13">
        <f t="shared" si="2"/>
        <v>0.0003</v>
      </c>
      <c r="G135" s="13" t="str">
        <f t="shared" si="3"/>
        <v>Normal</v>
      </c>
      <c r="H135" s="13" t="str">
        <f t="shared" si="4"/>
        <v>Afternoon</v>
      </c>
      <c r="I135" s="13">
        <f t="shared" si="5"/>
        <v>1</v>
      </c>
      <c r="J135" s="14" t="str">
        <f t="shared" si="6"/>
        <v>AC</v>
      </c>
      <c r="K135" s="15">
        <f t="shared" si="7"/>
        <v>15</v>
      </c>
      <c r="M135" s="15">
        <f t="shared" si="8"/>
        <v>0.8567001115</v>
      </c>
    </row>
    <row r="136">
      <c r="A136" s="10">
        <v>42370.20988425926</v>
      </c>
      <c r="B136" s="11">
        <v>0.36185</v>
      </c>
      <c r="C136" s="11">
        <v>35.4</v>
      </c>
      <c r="D136" s="11">
        <v>0.61</v>
      </c>
      <c r="E136" s="12">
        <f t="shared" si="1"/>
        <v>5</v>
      </c>
      <c r="F136" s="13">
        <f t="shared" si="2"/>
        <v>0.0004</v>
      </c>
      <c r="G136" s="13" t="str">
        <f t="shared" si="3"/>
        <v>Normal</v>
      </c>
      <c r="H136" s="13" t="str">
        <f t="shared" si="4"/>
        <v>Afternoon</v>
      </c>
      <c r="I136" s="13">
        <f t="shared" si="5"/>
        <v>2</v>
      </c>
      <c r="J136" s="14" t="str">
        <f t="shared" si="6"/>
        <v>Heater</v>
      </c>
      <c r="K136" s="15">
        <f t="shared" si="7"/>
        <v>16</v>
      </c>
      <c r="M136" s="15">
        <f t="shared" si="8"/>
        <v>0.8567001115</v>
      </c>
    </row>
    <row r="137">
      <c r="A137" s="10">
        <v>42370.20989583334</v>
      </c>
      <c r="B137" s="11">
        <v>0.483066667</v>
      </c>
      <c r="C137" s="11">
        <v>35.4</v>
      </c>
      <c r="D137" s="11">
        <v>0.61</v>
      </c>
      <c r="E137" s="12">
        <f t="shared" si="1"/>
        <v>5</v>
      </c>
      <c r="F137" s="13">
        <f t="shared" si="2"/>
        <v>0.0005</v>
      </c>
      <c r="G137" s="13" t="str">
        <f t="shared" si="3"/>
        <v>Normal</v>
      </c>
      <c r="H137" s="13" t="str">
        <f t="shared" si="4"/>
        <v>Afternoon</v>
      </c>
      <c r="I137" s="13">
        <f t="shared" si="5"/>
        <v>3</v>
      </c>
      <c r="J137" s="14" t="str">
        <f t="shared" si="6"/>
        <v>Fridge</v>
      </c>
      <c r="K137" s="15">
        <f t="shared" si="7"/>
        <v>17</v>
      </c>
      <c r="M137" s="15">
        <f t="shared" si="8"/>
        <v>0.8567001115</v>
      </c>
    </row>
    <row r="138">
      <c r="A138" s="10">
        <v>42370.20990740741</v>
      </c>
      <c r="B138" s="11">
        <v>0.984616667</v>
      </c>
      <c r="C138" s="11">
        <v>35.4</v>
      </c>
      <c r="D138" s="11">
        <v>0.61</v>
      </c>
      <c r="E138" s="12">
        <f t="shared" si="1"/>
        <v>5</v>
      </c>
      <c r="F138" s="13">
        <f t="shared" si="2"/>
        <v>0.001</v>
      </c>
      <c r="G138" s="13" t="str">
        <f t="shared" si="3"/>
        <v>High</v>
      </c>
      <c r="H138" s="13" t="str">
        <f t="shared" si="4"/>
        <v>Evening</v>
      </c>
      <c r="I138" s="13">
        <f t="shared" si="5"/>
        <v>1</v>
      </c>
      <c r="J138" s="14" t="str">
        <f t="shared" si="6"/>
        <v>AC</v>
      </c>
      <c r="K138" s="15">
        <f t="shared" si="7"/>
        <v>18</v>
      </c>
      <c r="M138" s="15">
        <f t="shared" si="8"/>
        <v>0.8567001115</v>
      </c>
    </row>
    <row r="139">
      <c r="A139" s="10">
        <v>42370.209918981476</v>
      </c>
      <c r="B139" s="11">
        <v>1.101983333</v>
      </c>
      <c r="C139" s="11">
        <v>35.4</v>
      </c>
      <c r="D139" s="11">
        <v>0.61</v>
      </c>
      <c r="E139" s="12">
        <f t="shared" si="1"/>
        <v>5</v>
      </c>
      <c r="F139" s="13">
        <f t="shared" si="2"/>
        <v>0.0011</v>
      </c>
      <c r="G139" s="13" t="str">
        <f t="shared" si="3"/>
        <v>High</v>
      </c>
      <c r="H139" s="13" t="str">
        <f t="shared" si="4"/>
        <v>Evening</v>
      </c>
      <c r="I139" s="13">
        <f t="shared" si="5"/>
        <v>2</v>
      </c>
      <c r="J139" s="14" t="str">
        <f t="shared" si="6"/>
        <v>Heater</v>
      </c>
      <c r="K139" s="15">
        <f t="shared" si="7"/>
        <v>19</v>
      </c>
      <c r="M139" s="15">
        <f t="shared" si="8"/>
        <v>0.8567001115</v>
      </c>
    </row>
    <row r="140">
      <c r="A140" s="10">
        <v>42370.20993055556</v>
      </c>
      <c r="B140" s="11">
        <v>1.099116667</v>
      </c>
      <c r="C140" s="11">
        <v>35.4</v>
      </c>
      <c r="D140" s="11">
        <v>0.61</v>
      </c>
      <c r="E140" s="12">
        <f t="shared" si="1"/>
        <v>5</v>
      </c>
      <c r="F140" s="13">
        <f t="shared" si="2"/>
        <v>0.0011</v>
      </c>
      <c r="G140" s="13" t="str">
        <f t="shared" si="3"/>
        <v>High</v>
      </c>
      <c r="H140" s="13" t="str">
        <f t="shared" si="4"/>
        <v>Evening</v>
      </c>
      <c r="I140" s="13">
        <f t="shared" si="5"/>
        <v>3</v>
      </c>
      <c r="J140" s="14" t="str">
        <f t="shared" si="6"/>
        <v>Fridge</v>
      </c>
      <c r="K140" s="15">
        <f t="shared" si="7"/>
        <v>20</v>
      </c>
      <c r="M140" s="15">
        <f t="shared" si="8"/>
        <v>0.8567001115</v>
      </c>
    </row>
    <row r="141">
      <c r="A141" s="10">
        <v>42370.20994212963</v>
      </c>
      <c r="B141" s="11">
        <v>1.094483333</v>
      </c>
      <c r="C141" s="11">
        <v>35.4</v>
      </c>
      <c r="D141" s="11">
        <v>0.61</v>
      </c>
      <c r="E141" s="12">
        <f t="shared" si="1"/>
        <v>5</v>
      </c>
      <c r="F141" s="13">
        <f t="shared" si="2"/>
        <v>0.0011</v>
      </c>
      <c r="G141" s="13" t="str">
        <f t="shared" si="3"/>
        <v>High</v>
      </c>
      <c r="H141" s="13" t="str">
        <f t="shared" si="4"/>
        <v>Evening</v>
      </c>
      <c r="I141" s="13">
        <f t="shared" si="5"/>
        <v>1</v>
      </c>
      <c r="J141" s="14" t="str">
        <f t="shared" si="6"/>
        <v>AC</v>
      </c>
      <c r="K141" s="15">
        <f t="shared" si="7"/>
        <v>21</v>
      </c>
      <c r="M141" s="15">
        <f t="shared" si="8"/>
        <v>0.8567001115</v>
      </c>
    </row>
    <row r="142">
      <c r="A142" s="10">
        <v>42370.2099537037</v>
      </c>
      <c r="B142" s="11">
        <v>1.04615</v>
      </c>
      <c r="C142" s="11">
        <v>35.4</v>
      </c>
      <c r="D142" s="11">
        <v>0.61</v>
      </c>
      <c r="E142" s="12">
        <f t="shared" si="1"/>
        <v>5</v>
      </c>
      <c r="F142" s="13">
        <f t="shared" si="2"/>
        <v>0.001</v>
      </c>
      <c r="G142" s="13" t="str">
        <f t="shared" si="3"/>
        <v>High</v>
      </c>
      <c r="H142" s="13" t="str">
        <f t="shared" si="4"/>
        <v>Evening</v>
      </c>
      <c r="I142" s="13">
        <f t="shared" si="5"/>
        <v>2</v>
      </c>
      <c r="J142" s="14" t="str">
        <f t="shared" si="6"/>
        <v>Heater</v>
      </c>
      <c r="K142" s="15">
        <f t="shared" si="7"/>
        <v>22</v>
      </c>
      <c r="M142" s="15">
        <f t="shared" si="8"/>
        <v>0.8567001115</v>
      </c>
    </row>
    <row r="143">
      <c r="A143" s="10">
        <v>42370.209965277776</v>
      </c>
      <c r="B143" s="11">
        <v>0.9656</v>
      </c>
      <c r="C143" s="11">
        <v>35.4</v>
      </c>
      <c r="D143" s="11">
        <v>0.61</v>
      </c>
      <c r="E143" s="12">
        <f t="shared" si="1"/>
        <v>5</v>
      </c>
      <c r="F143" s="13">
        <f t="shared" si="2"/>
        <v>0.001</v>
      </c>
      <c r="G143" s="13" t="str">
        <f t="shared" si="3"/>
        <v>High</v>
      </c>
      <c r="H143" s="13" t="str">
        <f t="shared" si="4"/>
        <v>Evening</v>
      </c>
      <c r="I143" s="13">
        <f t="shared" si="5"/>
        <v>3</v>
      </c>
      <c r="J143" s="14" t="str">
        <f t="shared" si="6"/>
        <v>Fridge</v>
      </c>
      <c r="K143" s="15">
        <f t="shared" si="7"/>
        <v>23</v>
      </c>
      <c r="M143" s="15">
        <f t="shared" si="8"/>
        <v>0.8567001115</v>
      </c>
    </row>
    <row r="144">
      <c r="A144" s="10">
        <v>42370.20997685185</v>
      </c>
      <c r="B144" s="11">
        <v>0.612366667</v>
      </c>
      <c r="C144" s="11">
        <v>35.4</v>
      </c>
      <c r="D144" s="11">
        <v>0.61</v>
      </c>
      <c r="E144" s="12">
        <f t="shared" si="1"/>
        <v>5</v>
      </c>
      <c r="F144" s="13">
        <f t="shared" si="2"/>
        <v>0.0006</v>
      </c>
      <c r="G144" s="13" t="str">
        <f t="shared" si="3"/>
        <v>Normal</v>
      </c>
      <c r="H144" s="13" t="str">
        <f t="shared" si="4"/>
        <v>Night</v>
      </c>
      <c r="I144" s="13">
        <f t="shared" si="5"/>
        <v>1</v>
      </c>
      <c r="J144" s="14" t="str">
        <f t="shared" si="6"/>
        <v>AC</v>
      </c>
      <c r="K144" s="15">
        <f t="shared" si="7"/>
        <v>0</v>
      </c>
      <c r="M144" s="15">
        <f t="shared" si="8"/>
        <v>0.8567001115</v>
      </c>
    </row>
    <row r="145">
      <c r="A145" s="10">
        <v>42370.20998842592</v>
      </c>
      <c r="B145" s="11">
        <v>0.5254</v>
      </c>
      <c r="C145" s="11">
        <v>35.4</v>
      </c>
      <c r="D145" s="11">
        <v>0.61</v>
      </c>
      <c r="E145" s="12">
        <f t="shared" si="1"/>
        <v>5</v>
      </c>
      <c r="F145" s="13">
        <f t="shared" si="2"/>
        <v>0.0005</v>
      </c>
      <c r="G145" s="13" t="str">
        <f t="shared" si="3"/>
        <v>Normal</v>
      </c>
      <c r="H145" s="13" t="str">
        <f t="shared" si="4"/>
        <v>Night</v>
      </c>
      <c r="I145" s="13">
        <f t="shared" si="5"/>
        <v>2</v>
      </c>
      <c r="J145" s="14" t="str">
        <f t="shared" si="6"/>
        <v>Heater</v>
      </c>
      <c r="K145" s="15">
        <f t="shared" si="7"/>
        <v>1</v>
      </c>
      <c r="M145" s="15">
        <f t="shared" si="8"/>
        <v>0.8567001115</v>
      </c>
    </row>
    <row r="146">
      <c r="A146" s="10">
        <v>42370.21</v>
      </c>
      <c r="B146" s="11">
        <v>0.5138</v>
      </c>
      <c r="C146" s="11">
        <v>35.4</v>
      </c>
      <c r="D146" s="11">
        <v>0.61</v>
      </c>
      <c r="E146" s="12">
        <f t="shared" si="1"/>
        <v>5</v>
      </c>
      <c r="F146" s="13">
        <f t="shared" si="2"/>
        <v>0.0005</v>
      </c>
      <c r="G146" s="13" t="str">
        <f t="shared" si="3"/>
        <v>Normal</v>
      </c>
      <c r="H146" s="13" t="str">
        <f t="shared" si="4"/>
        <v>Night</v>
      </c>
      <c r="I146" s="13">
        <f t="shared" si="5"/>
        <v>3</v>
      </c>
      <c r="J146" s="14" t="str">
        <f t="shared" si="6"/>
        <v>Fridge</v>
      </c>
      <c r="K146" s="15">
        <f t="shared" si="7"/>
        <v>2</v>
      </c>
      <c r="M146" s="15">
        <f t="shared" si="8"/>
        <v>0.8567001115</v>
      </c>
    </row>
    <row r="147">
      <c r="A147" s="10">
        <v>42370.210011574076</v>
      </c>
      <c r="B147" s="11">
        <v>0.472533333</v>
      </c>
      <c r="C147" s="11">
        <v>35.4</v>
      </c>
      <c r="D147" s="11">
        <v>0.61</v>
      </c>
      <c r="E147" s="12">
        <f t="shared" si="1"/>
        <v>5</v>
      </c>
      <c r="F147" s="13">
        <f t="shared" si="2"/>
        <v>0.0005</v>
      </c>
      <c r="G147" s="13" t="str">
        <f t="shared" si="3"/>
        <v>Normal</v>
      </c>
      <c r="H147" s="13" t="str">
        <f t="shared" si="4"/>
        <v>Night</v>
      </c>
      <c r="I147" s="13">
        <f t="shared" si="5"/>
        <v>1</v>
      </c>
      <c r="J147" s="14" t="str">
        <f t="shared" si="6"/>
        <v>AC</v>
      </c>
      <c r="K147" s="15">
        <f t="shared" si="7"/>
        <v>3</v>
      </c>
      <c r="M147" s="15">
        <f t="shared" si="8"/>
        <v>0.8567001115</v>
      </c>
    </row>
    <row r="148">
      <c r="A148" s="10">
        <v>42370.210023148145</v>
      </c>
      <c r="B148" s="11">
        <v>0.465566667</v>
      </c>
      <c r="C148" s="11">
        <v>35.4</v>
      </c>
      <c r="D148" s="11">
        <v>0.61</v>
      </c>
      <c r="E148" s="12">
        <f t="shared" si="1"/>
        <v>5</v>
      </c>
      <c r="F148" s="13">
        <f t="shared" si="2"/>
        <v>0.0005</v>
      </c>
      <c r="G148" s="13" t="str">
        <f t="shared" si="3"/>
        <v>Normal</v>
      </c>
      <c r="H148" s="13" t="str">
        <f t="shared" si="4"/>
        <v>Night</v>
      </c>
      <c r="I148" s="13">
        <f t="shared" si="5"/>
        <v>2</v>
      </c>
      <c r="J148" s="14" t="str">
        <f t="shared" si="6"/>
        <v>Heater</v>
      </c>
      <c r="K148" s="15">
        <f t="shared" si="7"/>
        <v>4</v>
      </c>
      <c r="M148" s="15">
        <f t="shared" si="8"/>
        <v>0.8567001115</v>
      </c>
    </row>
    <row r="149">
      <c r="A149" s="10">
        <v>42370.21003472222</v>
      </c>
      <c r="B149" s="11">
        <v>0.46115</v>
      </c>
      <c r="C149" s="11">
        <v>35.4</v>
      </c>
      <c r="D149" s="11">
        <v>0.61</v>
      </c>
      <c r="E149" s="12">
        <f t="shared" si="1"/>
        <v>5</v>
      </c>
      <c r="F149" s="13">
        <f t="shared" si="2"/>
        <v>0.0005</v>
      </c>
      <c r="G149" s="13" t="str">
        <f t="shared" si="3"/>
        <v>Normal</v>
      </c>
      <c r="H149" s="13" t="str">
        <f t="shared" si="4"/>
        <v>Night</v>
      </c>
      <c r="I149" s="13">
        <f t="shared" si="5"/>
        <v>3</v>
      </c>
      <c r="J149" s="14" t="str">
        <f t="shared" si="6"/>
        <v>Fridge</v>
      </c>
      <c r="K149" s="15">
        <f t="shared" si="7"/>
        <v>5</v>
      </c>
      <c r="M149" s="15">
        <f t="shared" si="8"/>
        <v>0.8567001115</v>
      </c>
    </row>
    <row r="150">
      <c r="A150" s="10">
        <v>42370.2100462963</v>
      </c>
      <c r="B150" s="11">
        <v>0.459883333</v>
      </c>
      <c r="C150" s="11">
        <v>35.4</v>
      </c>
      <c r="D150" s="11">
        <v>0.61</v>
      </c>
      <c r="E150" s="12">
        <f t="shared" si="1"/>
        <v>5</v>
      </c>
      <c r="F150" s="13">
        <f t="shared" si="2"/>
        <v>0.0005</v>
      </c>
      <c r="G150" s="13" t="str">
        <f t="shared" si="3"/>
        <v>Normal</v>
      </c>
      <c r="H150" s="13" t="str">
        <f t="shared" si="4"/>
        <v>Morning</v>
      </c>
      <c r="I150" s="13">
        <f t="shared" si="5"/>
        <v>1</v>
      </c>
      <c r="J150" s="14" t="str">
        <f t="shared" si="6"/>
        <v>AC</v>
      </c>
      <c r="K150" s="15">
        <f t="shared" si="7"/>
        <v>6</v>
      </c>
      <c r="M150" s="15">
        <f t="shared" si="8"/>
        <v>0.8567001115</v>
      </c>
    </row>
    <row r="151">
      <c r="A151" s="10">
        <v>42370.21005787037</v>
      </c>
      <c r="B151" s="11">
        <v>0.4605</v>
      </c>
      <c r="C151" s="11">
        <v>35.4</v>
      </c>
      <c r="D151" s="11">
        <v>0.61</v>
      </c>
      <c r="E151" s="12">
        <f t="shared" si="1"/>
        <v>5</v>
      </c>
      <c r="F151" s="13">
        <f t="shared" si="2"/>
        <v>0.0005</v>
      </c>
      <c r="G151" s="13" t="str">
        <f t="shared" si="3"/>
        <v>Normal</v>
      </c>
      <c r="H151" s="13" t="str">
        <f t="shared" si="4"/>
        <v>Morning</v>
      </c>
      <c r="I151" s="13">
        <f t="shared" si="5"/>
        <v>2</v>
      </c>
      <c r="J151" s="14" t="str">
        <f t="shared" si="6"/>
        <v>Heater</v>
      </c>
      <c r="K151" s="15">
        <f t="shared" si="7"/>
        <v>7</v>
      </c>
      <c r="M151" s="15">
        <f t="shared" si="8"/>
        <v>0.8567001115</v>
      </c>
    </row>
    <row r="152">
      <c r="A152" s="10">
        <v>42370.210069444445</v>
      </c>
      <c r="B152" s="11">
        <v>0.4947</v>
      </c>
      <c r="C152" s="11">
        <v>35.4</v>
      </c>
      <c r="D152" s="11">
        <v>0.61</v>
      </c>
      <c r="E152" s="12">
        <f t="shared" si="1"/>
        <v>5</v>
      </c>
      <c r="F152" s="13">
        <f t="shared" si="2"/>
        <v>0.0005</v>
      </c>
      <c r="G152" s="13" t="str">
        <f t="shared" si="3"/>
        <v>Normal</v>
      </c>
      <c r="H152" s="13" t="str">
        <f t="shared" si="4"/>
        <v>Morning</v>
      </c>
      <c r="I152" s="13">
        <f t="shared" si="5"/>
        <v>3</v>
      </c>
      <c r="J152" s="14" t="str">
        <f t="shared" si="6"/>
        <v>Fridge</v>
      </c>
      <c r="K152" s="15">
        <f t="shared" si="7"/>
        <v>8</v>
      </c>
      <c r="M152" s="15">
        <f t="shared" si="8"/>
        <v>0.8567001115</v>
      </c>
    </row>
    <row r="153">
      <c r="A153" s="10">
        <v>42370.21008101852</v>
      </c>
      <c r="B153" s="11">
        <v>0.506783333</v>
      </c>
      <c r="C153" s="11">
        <v>35.4</v>
      </c>
      <c r="D153" s="11">
        <v>0.61</v>
      </c>
      <c r="E153" s="12">
        <f t="shared" si="1"/>
        <v>5</v>
      </c>
      <c r="F153" s="13">
        <f t="shared" si="2"/>
        <v>0.0005</v>
      </c>
      <c r="G153" s="13" t="str">
        <f t="shared" si="3"/>
        <v>Normal</v>
      </c>
      <c r="H153" s="13" t="str">
        <f t="shared" si="4"/>
        <v>Morning</v>
      </c>
      <c r="I153" s="13">
        <f t="shared" si="5"/>
        <v>1</v>
      </c>
      <c r="J153" s="14" t="str">
        <f t="shared" si="6"/>
        <v>AC</v>
      </c>
      <c r="K153" s="15">
        <f t="shared" si="7"/>
        <v>9</v>
      </c>
      <c r="M153" s="15">
        <f t="shared" si="8"/>
        <v>0.8567001115</v>
      </c>
    </row>
    <row r="154">
      <c r="A154" s="10">
        <v>42370.21009259259</v>
      </c>
      <c r="B154" s="11">
        <v>0.542216667</v>
      </c>
      <c r="C154" s="11">
        <v>35.4</v>
      </c>
      <c r="D154" s="11">
        <v>0.61</v>
      </c>
      <c r="E154" s="12">
        <f t="shared" si="1"/>
        <v>5</v>
      </c>
      <c r="F154" s="13">
        <f t="shared" si="2"/>
        <v>0.0005</v>
      </c>
      <c r="G154" s="13" t="str">
        <f t="shared" si="3"/>
        <v>Normal</v>
      </c>
      <c r="H154" s="13" t="str">
        <f t="shared" si="4"/>
        <v>Morning</v>
      </c>
      <c r="I154" s="13">
        <f t="shared" si="5"/>
        <v>2</v>
      </c>
      <c r="J154" s="14" t="str">
        <f t="shared" si="6"/>
        <v>Heater</v>
      </c>
      <c r="K154" s="15">
        <f t="shared" si="7"/>
        <v>10</v>
      </c>
      <c r="M154" s="15">
        <f t="shared" si="8"/>
        <v>0.8567001115</v>
      </c>
    </row>
    <row r="155">
      <c r="A155" s="10">
        <v>42370.21010416667</v>
      </c>
      <c r="B155" s="11">
        <v>0.681333333</v>
      </c>
      <c r="C155" s="11">
        <v>35.4</v>
      </c>
      <c r="D155" s="11">
        <v>0.61</v>
      </c>
      <c r="E155" s="12">
        <f t="shared" si="1"/>
        <v>5</v>
      </c>
      <c r="F155" s="13">
        <f t="shared" si="2"/>
        <v>0.0007</v>
      </c>
      <c r="G155" s="13" t="str">
        <f t="shared" si="3"/>
        <v>Normal</v>
      </c>
      <c r="H155" s="13" t="str">
        <f t="shared" si="4"/>
        <v>Morning</v>
      </c>
      <c r="I155" s="13">
        <f t="shared" si="5"/>
        <v>3</v>
      </c>
      <c r="J155" s="14" t="str">
        <f t="shared" si="6"/>
        <v>Fridge</v>
      </c>
      <c r="K155" s="15">
        <f t="shared" si="7"/>
        <v>11</v>
      </c>
      <c r="M155" s="15">
        <f t="shared" si="8"/>
        <v>0.8567001115</v>
      </c>
    </row>
    <row r="156">
      <c r="A156" s="10">
        <v>42370.210115740745</v>
      </c>
      <c r="B156" s="11">
        <v>1.034183333</v>
      </c>
      <c r="C156" s="11">
        <v>35.4</v>
      </c>
      <c r="D156" s="11">
        <v>0.61</v>
      </c>
      <c r="E156" s="12">
        <f t="shared" si="1"/>
        <v>5</v>
      </c>
      <c r="F156" s="13">
        <f t="shared" si="2"/>
        <v>0.001</v>
      </c>
      <c r="G156" s="13" t="str">
        <f t="shared" si="3"/>
        <v>High</v>
      </c>
      <c r="H156" s="13" t="str">
        <f t="shared" si="4"/>
        <v>Afternoon</v>
      </c>
      <c r="I156" s="13">
        <f t="shared" si="5"/>
        <v>1</v>
      </c>
      <c r="J156" s="14" t="str">
        <f t="shared" si="6"/>
        <v>AC</v>
      </c>
      <c r="K156" s="15">
        <f t="shared" si="7"/>
        <v>12</v>
      </c>
      <c r="M156" s="15">
        <f t="shared" si="8"/>
        <v>0.8567001115</v>
      </c>
    </row>
    <row r="157">
      <c r="A157" s="10">
        <v>42370.210127314815</v>
      </c>
      <c r="B157" s="11">
        <v>1.252466667</v>
      </c>
      <c r="C157" s="11">
        <v>35.4</v>
      </c>
      <c r="D157" s="11">
        <v>0.61</v>
      </c>
      <c r="E157" s="12">
        <f t="shared" si="1"/>
        <v>5</v>
      </c>
      <c r="F157" s="13">
        <f t="shared" si="2"/>
        <v>0.0013</v>
      </c>
      <c r="G157" s="13" t="str">
        <f t="shared" si="3"/>
        <v>High</v>
      </c>
      <c r="H157" s="13" t="str">
        <f t="shared" si="4"/>
        <v>Afternoon</v>
      </c>
      <c r="I157" s="13">
        <f t="shared" si="5"/>
        <v>2</v>
      </c>
      <c r="J157" s="14" t="str">
        <f t="shared" si="6"/>
        <v>Heater</v>
      </c>
      <c r="K157" s="15">
        <f t="shared" si="7"/>
        <v>13</v>
      </c>
      <c r="M157" s="15">
        <f t="shared" si="8"/>
        <v>0.8567001115</v>
      </c>
    </row>
    <row r="158">
      <c r="A158" s="10">
        <v>42370.210138888884</v>
      </c>
      <c r="B158" s="11">
        <v>1.217616667</v>
      </c>
      <c r="C158" s="11">
        <v>35.4</v>
      </c>
      <c r="D158" s="11">
        <v>0.61</v>
      </c>
      <c r="E158" s="12">
        <f t="shared" si="1"/>
        <v>5</v>
      </c>
      <c r="F158" s="13">
        <f t="shared" si="2"/>
        <v>0.0012</v>
      </c>
      <c r="G158" s="13" t="str">
        <f t="shared" si="3"/>
        <v>High</v>
      </c>
      <c r="H158" s="13" t="str">
        <f t="shared" si="4"/>
        <v>Afternoon</v>
      </c>
      <c r="I158" s="13">
        <f t="shared" si="5"/>
        <v>3</v>
      </c>
      <c r="J158" s="14" t="str">
        <f t="shared" si="6"/>
        <v>Fridge</v>
      </c>
      <c r="K158" s="15">
        <f t="shared" si="7"/>
        <v>14</v>
      </c>
      <c r="M158" s="15">
        <f t="shared" si="8"/>
        <v>0.8567001115</v>
      </c>
    </row>
    <row r="159">
      <c r="A159" s="10">
        <v>42370.21015046297</v>
      </c>
      <c r="B159" s="11">
        <v>1.1169</v>
      </c>
      <c r="C159" s="11">
        <v>35.4</v>
      </c>
      <c r="D159" s="11">
        <v>0.61</v>
      </c>
      <c r="E159" s="12">
        <f t="shared" si="1"/>
        <v>5</v>
      </c>
      <c r="F159" s="13">
        <f t="shared" si="2"/>
        <v>0.0011</v>
      </c>
      <c r="G159" s="13" t="str">
        <f t="shared" si="3"/>
        <v>High</v>
      </c>
      <c r="H159" s="13" t="str">
        <f t="shared" si="4"/>
        <v>Afternoon</v>
      </c>
      <c r="I159" s="13">
        <f t="shared" si="5"/>
        <v>1</v>
      </c>
      <c r="J159" s="14" t="str">
        <f t="shared" si="6"/>
        <v>AC</v>
      </c>
      <c r="K159" s="15">
        <f t="shared" si="7"/>
        <v>15</v>
      </c>
      <c r="M159" s="15">
        <f t="shared" si="8"/>
        <v>0.8567001115</v>
      </c>
    </row>
    <row r="160">
      <c r="A160" s="10">
        <v>42370.21016203704</v>
      </c>
      <c r="B160" s="11">
        <v>0.8278</v>
      </c>
      <c r="C160" s="11">
        <v>35.4</v>
      </c>
      <c r="D160" s="11">
        <v>0.61</v>
      </c>
      <c r="E160" s="12">
        <f t="shared" si="1"/>
        <v>5</v>
      </c>
      <c r="F160" s="13">
        <f t="shared" si="2"/>
        <v>0.0008</v>
      </c>
      <c r="G160" s="13" t="str">
        <f t="shared" si="3"/>
        <v>Normal</v>
      </c>
      <c r="H160" s="13" t="str">
        <f t="shared" si="4"/>
        <v>Afternoon</v>
      </c>
      <c r="I160" s="13">
        <f t="shared" si="5"/>
        <v>2</v>
      </c>
      <c r="J160" s="14" t="str">
        <f t="shared" si="6"/>
        <v>Heater</v>
      </c>
      <c r="K160" s="15">
        <f t="shared" si="7"/>
        <v>16</v>
      </c>
      <c r="M160" s="15">
        <f t="shared" si="8"/>
        <v>0.8567001115</v>
      </c>
    </row>
    <row r="161">
      <c r="A161" s="10">
        <v>42370.21017361111</v>
      </c>
      <c r="B161" s="11">
        <v>0.626066667</v>
      </c>
      <c r="C161" s="11">
        <v>35.4</v>
      </c>
      <c r="D161" s="11">
        <v>0.61</v>
      </c>
      <c r="E161" s="12">
        <f t="shared" si="1"/>
        <v>5</v>
      </c>
      <c r="F161" s="13">
        <f t="shared" si="2"/>
        <v>0.0006</v>
      </c>
      <c r="G161" s="13" t="str">
        <f t="shared" si="3"/>
        <v>Normal</v>
      </c>
      <c r="H161" s="13" t="str">
        <f t="shared" si="4"/>
        <v>Afternoon</v>
      </c>
      <c r="I161" s="13">
        <f t="shared" si="5"/>
        <v>3</v>
      </c>
      <c r="J161" s="14" t="str">
        <f t="shared" si="6"/>
        <v>Fridge</v>
      </c>
      <c r="K161" s="15">
        <f t="shared" si="7"/>
        <v>17</v>
      </c>
      <c r="M161" s="15">
        <f t="shared" si="8"/>
        <v>0.8567001115</v>
      </c>
    </row>
    <row r="162">
      <c r="A162" s="10">
        <v>42370.210185185184</v>
      </c>
      <c r="B162" s="11">
        <v>0.625016667</v>
      </c>
      <c r="C162" s="11">
        <v>35.4</v>
      </c>
      <c r="D162" s="11">
        <v>0.61</v>
      </c>
      <c r="E162" s="12">
        <f t="shared" si="1"/>
        <v>5</v>
      </c>
      <c r="F162" s="13">
        <f t="shared" si="2"/>
        <v>0.0006</v>
      </c>
      <c r="G162" s="13" t="str">
        <f t="shared" si="3"/>
        <v>Normal</v>
      </c>
      <c r="H162" s="13" t="str">
        <f t="shared" si="4"/>
        <v>Evening</v>
      </c>
      <c r="I162" s="13">
        <f t="shared" si="5"/>
        <v>1</v>
      </c>
      <c r="J162" s="14" t="str">
        <f t="shared" si="6"/>
        <v>AC</v>
      </c>
      <c r="K162" s="15">
        <f t="shared" si="7"/>
        <v>18</v>
      </c>
      <c r="M162" s="15">
        <f t="shared" si="8"/>
        <v>0.8567001115</v>
      </c>
    </row>
    <row r="163">
      <c r="A163" s="10">
        <v>42370.21019675926</v>
      </c>
      <c r="B163" s="11">
        <v>0.6246</v>
      </c>
      <c r="C163" s="11">
        <v>35.4</v>
      </c>
      <c r="D163" s="11">
        <v>0.61</v>
      </c>
      <c r="E163" s="12">
        <f t="shared" si="1"/>
        <v>5</v>
      </c>
      <c r="F163" s="13">
        <f t="shared" si="2"/>
        <v>0.0006</v>
      </c>
      <c r="G163" s="13" t="str">
        <f t="shared" si="3"/>
        <v>Normal</v>
      </c>
      <c r="H163" s="13" t="str">
        <f t="shared" si="4"/>
        <v>Evening</v>
      </c>
      <c r="I163" s="13">
        <f t="shared" si="5"/>
        <v>2</v>
      </c>
      <c r="J163" s="14" t="str">
        <f t="shared" si="6"/>
        <v>Heater</v>
      </c>
      <c r="K163" s="15">
        <f t="shared" si="7"/>
        <v>19</v>
      </c>
      <c r="M163" s="15">
        <f t="shared" si="8"/>
        <v>0.8567001115</v>
      </c>
    </row>
    <row r="164">
      <c r="A164" s="10">
        <v>42370.21020833333</v>
      </c>
      <c r="B164" s="11">
        <v>0.624066667</v>
      </c>
      <c r="C164" s="11">
        <v>35.4</v>
      </c>
      <c r="D164" s="11">
        <v>0.61</v>
      </c>
      <c r="E164" s="12">
        <f t="shared" si="1"/>
        <v>5</v>
      </c>
      <c r="F164" s="13">
        <f t="shared" si="2"/>
        <v>0.0006</v>
      </c>
      <c r="G164" s="13" t="str">
        <f t="shared" si="3"/>
        <v>Normal</v>
      </c>
      <c r="H164" s="13" t="str">
        <f t="shared" si="4"/>
        <v>Evening</v>
      </c>
      <c r="I164" s="13">
        <f t="shared" si="5"/>
        <v>3</v>
      </c>
      <c r="J164" s="14" t="str">
        <f t="shared" si="6"/>
        <v>Fridge</v>
      </c>
      <c r="K164" s="15">
        <f t="shared" si="7"/>
        <v>20</v>
      </c>
      <c r="M164" s="15">
        <f t="shared" si="8"/>
        <v>0.8567001115</v>
      </c>
    </row>
    <row r="165">
      <c r="A165" s="10">
        <v>42370.21021990741</v>
      </c>
      <c r="B165" s="11">
        <v>0.6243</v>
      </c>
      <c r="C165" s="11">
        <v>35.4</v>
      </c>
      <c r="D165" s="11">
        <v>0.61</v>
      </c>
      <c r="E165" s="12">
        <f t="shared" si="1"/>
        <v>5</v>
      </c>
      <c r="F165" s="13">
        <f t="shared" si="2"/>
        <v>0.0006</v>
      </c>
      <c r="G165" s="13" t="str">
        <f t="shared" si="3"/>
        <v>Normal</v>
      </c>
      <c r="H165" s="13" t="str">
        <f t="shared" si="4"/>
        <v>Evening</v>
      </c>
      <c r="I165" s="13">
        <f t="shared" si="5"/>
        <v>1</v>
      </c>
      <c r="J165" s="14" t="str">
        <f t="shared" si="6"/>
        <v>AC</v>
      </c>
      <c r="K165" s="15">
        <f t="shared" si="7"/>
        <v>21</v>
      </c>
      <c r="M165" s="15">
        <f t="shared" si="8"/>
        <v>0.8567001115</v>
      </c>
    </row>
    <row r="166">
      <c r="A166" s="10">
        <v>42370.210231481484</v>
      </c>
      <c r="B166" s="11">
        <v>0.624483333</v>
      </c>
      <c r="C166" s="11">
        <v>35.4</v>
      </c>
      <c r="D166" s="11">
        <v>0.61</v>
      </c>
      <c r="E166" s="12">
        <f t="shared" si="1"/>
        <v>5</v>
      </c>
      <c r="F166" s="13">
        <f t="shared" si="2"/>
        <v>0.0006</v>
      </c>
      <c r="G166" s="13" t="str">
        <f t="shared" si="3"/>
        <v>Normal</v>
      </c>
      <c r="H166" s="13" t="str">
        <f t="shared" si="4"/>
        <v>Evening</v>
      </c>
      <c r="I166" s="13">
        <f t="shared" si="5"/>
        <v>2</v>
      </c>
      <c r="J166" s="14" t="str">
        <f t="shared" si="6"/>
        <v>Heater</v>
      </c>
      <c r="K166" s="15">
        <f t="shared" si="7"/>
        <v>22</v>
      </c>
      <c r="M166" s="15">
        <f t="shared" si="8"/>
        <v>0.8567001115</v>
      </c>
    </row>
    <row r="167">
      <c r="A167" s="10">
        <v>42370.21024305555</v>
      </c>
      <c r="B167" s="11">
        <v>0.625983333</v>
      </c>
      <c r="C167" s="11">
        <v>35.4</v>
      </c>
      <c r="D167" s="11">
        <v>0.61</v>
      </c>
      <c r="E167" s="12">
        <f t="shared" si="1"/>
        <v>5</v>
      </c>
      <c r="F167" s="13">
        <f t="shared" si="2"/>
        <v>0.0006</v>
      </c>
      <c r="G167" s="13" t="str">
        <f t="shared" si="3"/>
        <v>Normal</v>
      </c>
      <c r="H167" s="13" t="str">
        <f t="shared" si="4"/>
        <v>Evening</v>
      </c>
      <c r="I167" s="13">
        <f t="shared" si="5"/>
        <v>3</v>
      </c>
      <c r="J167" s="14" t="str">
        <f t="shared" si="6"/>
        <v>Fridge</v>
      </c>
      <c r="K167" s="15">
        <f t="shared" si="7"/>
        <v>23</v>
      </c>
      <c r="M167" s="15">
        <f t="shared" si="8"/>
        <v>0.8567001115</v>
      </c>
    </row>
    <row r="168">
      <c r="A168" s="10">
        <v>42370.21025462963</v>
      </c>
      <c r="B168" s="11">
        <v>0.650616667</v>
      </c>
      <c r="C168" s="11">
        <v>35.4</v>
      </c>
      <c r="D168" s="11">
        <v>0.61</v>
      </c>
      <c r="E168" s="12">
        <f t="shared" si="1"/>
        <v>5</v>
      </c>
      <c r="F168" s="13">
        <f t="shared" si="2"/>
        <v>0.0007</v>
      </c>
      <c r="G168" s="13" t="str">
        <f t="shared" si="3"/>
        <v>Normal</v>
      </c>
      <c r="H168" s="13" t="str">
        <f t="shared" si="4"/>
        <v>Night</v>
      </c>
      <c r="I168" s="13">
        <f t="shared" si="5"/>
        <v>1</v>
      </c>
      <c r="J168" s="14" t="str">
        <f t="shared" si="6"/>
        <v>AC</v>
      </c>
      <c r="K168" s="15">
        <f t="shared" si="7"/>
        <v>0</v>
      </c>
      <c r="M168" s="15">
        <f t="shared" si="8"/>
        <v>0.8567001115</v>
      </c>
    </row>
    <row r="169">
      <c r="A169" s="10">
        <v>42370.21026620371</v>
      </c>
      <c r="B169" s="11">
        <v>0.72445</v>
      </c>
      <c r="C169" s="11">
        <v>35.4</v>
      </c>
      <c r="D169" s="11">
        <v>0.61</v>
      </c>
      <c r="E169" s="12">
        <f t="shared" si="1"/>
        <v>5</v>
      </c>
      <c r="F169" s="13">
        <f t="shared" si="2"/>
        <v>0.0007</v>
      </c>
      <c r="G169" s="13" t="str">
        <f t="shared" si="3"/>
        <v>Normal</v>
      </c>
      <c r="H169" s="13" t="str">
        <f t="shared" si="4"/>
        <v>Night</v>
      </c>
      <c r="I169" s="13">
        <f t="shared" si="5"/>
        <v>2</v>
      </c>
      <c r="J169" s="14" t="str">
        <f t="shared" si="6"/>
        <v>Heater</v>
      </c>
      <c r="K169" s="15">
        <f t="shared" si="7"/>
        <v>1</v>
      </c>
      <c r="M169" s="15">
        <f t="shared" si="8"/>
        <v>0.8567001115</v>
      </c>
    </row>
    <row r="170">
      <c r="A170" s="10">
        <v>42370.210277777776</v>
      </c>
      <c r="B170" s="11">
        <v>0.8065</v>
      </c>
      <c r="C170" s="11">
        <v>35.4</v>
      </c>
      <c r="D170" s="11">
        <v>0.61</v>
      </c>
      <c r="E170" s="12">
        <f t="shared" si="1"/>
        <v>5</v>
      </c>
      <c r="F170" s="13">
        <f t="shared" si="2"/>
        <v>0.0008</v>
      </c>
      <c r="G170" s="13" t="str">
        <f t="shared" si="3"/>
        <v>Normal</v>
      </c>
      <c r="H170" s="13" t="str">
        <f t="shared" si="4"/>
        <v>Night</v>
      </c>
      <c r="I170" s="13">
        <f t="shared" si="5"/>
        <v>3</v>
      </c>
      <c r="J170" s="14" t="str">
        <f t="shared" si="6"/>
        <v>Fridge</v>
      </c>
      <c r="K170" s="15">
        <f t="shared" si="7"/>
        <v>2</v>
      </c>
      <c r="M170" s="15">
        <f t="shared" si="8"/>
        <v>0.8567001115</v>
      </c>
    </row>
    <row r="171">
      <c r="A171" s="10">
        <v>42370.21028935185</v>
      </c>
      <c r="B171" s="11">
        <v>1.191433333</v>
      </c>
      <c r="C171" s="11">
        <v>35.4</v>
      </c>
      <c r="D171" s="11">
        <v>0.61</v>
      </c>
      <c r="E171" s="12">
        <f t="shared" si="1"/>
        <v>5</v>
      </c>
      <c r="F171" s="13">
        <f t="shared" si="2"/>
        <v>0.0012</v>
      </c>
      <c r="G171" s="13" t="str">
        <f t="shared" si="3"/>
        <v>High</v>
      </c>
      <c r="H171" s="13" t="str">
        <f t="shared" si="4"/>
        <v>Night</v>
      </c>
      <c r="I171" s="13">
        <f t="shared" si="5"/>
        <v>1</v>
      </c>
      <c r="J171" s="14" t="str">
        <f t="shared" si="6"/>
        <v>AC</v>
      </c>
      <c r="K171" s="15">
        <f t="shared" si="7"/>
        <v>3</v>
      </c>
      <c r="M171" s="15">
        <f t="shared" si="8"/>
        <v>0.8567001115</v>
      </c>
    </row>
    <row r="172">
      <c r="A172" s="10">
        <v>42370.21030092593</v>
      </c>
      <c r="B172" s="11">
        <v>1.102633333</v>
      </c>
      <c r="C172" s="11">
        <v>35.4</v>
      </c>
      <c r="D172" s="11">
        <v>0.61</v>
      </c>
      <c r="E172" s="12">
        <f t="shared" si="1"/>
        <v>5</v>
      </c>
      <c r="F172" s="13">
        <f t="shared" si="2"/>
        <v>0.0011</v>
      </c>
      <c r="G172" s="13" t="str">
        <f t="shared" si="3"/>
        <v>High</v>
      </c>
      <c r="H172" s="13" t="str">
        <f t="shared" si="4"/>
        <v>Night</v>
      </c>
      <c r="I172" s="13">
        <f t="shared" si="5"/>
        <v>2</v>
      </c>
      <c r="J172" s="14" t="str">
        <f t="shared" si="6"/>
        <v>Heater</v>
      </c>
      <c r="K172" s="15">
        <f t="shared" si="7"/>
        <v>4</v>
      </c>
      <c r="M172" s="15">
        <f t="shared" si="8"/>
        <v>0.8567001115</v>
      </c>
    </row>
    <row r="173">
      <c r="A173" s="10">
        <v>42370.2103125</v>
      </c>
      <c r="B173" s="11">
        <v>1.09835</v>
      </c>
      <c r="C173" s="11">
        <v>35.4</v>
      </c>
      <c r="D173" s="11">
        <v>0.61</v>
      </c>
      <c r="E173" s="12">
        <f t="shared" si="1"/>
        <v>5</v>
      </c>
      <c r="F173" s="13">
        <f t="shared" si="2"/>
        <v>0.0011</v>
      </c>
      <c r="G173" s="13" t="str">
        <f t="shared" si="3"/>
        <v>High</v>
      </c>
      <c r="H173" s="13" t="str">
        <f t="shared" si="4"/>
        <v>Night</v>
      </c>
      <c r="I173" s="13">
        <f t="shared" si="5"/>
        <v>3</v>
      </c>
      <c r="J173" s="14" t="str">
        <f t="shared" si="6"/>
        <v>Fridge</v>
      </c>
      <c r="K173" s="15">
        <f t="shared" si="7"/>
        <v>5</v>
      </c>
      <c r="M173" s="15">
        <f t="shared" si="8"/>
        <v>0.8567001115</v>
      </c>
    </row>
    <row r="174">
      <c r="A174" s="10">
        <v>42370.21032407407</v>
      </c>
      <c r="B174" s="11">
        <v>1.062483333</v>
      </c>
      <c r="C174" s="11">
        <v>35.4</v>
      </c>
      <c r="D174" s="11">
        <v>0.61</v>
      </c>
      <c r="E174" s="12">
        <f t="shared" si="1"/>
        <v>5</v>
      </c>
      <c r="F174" s="13">
        <f t="shared" si="2"/>
        <v>0.0011</v>
      </c>
      <c r="G174" s="13" t="str">
        <f t="shared" si="3"/>
        <v>High</v>
      </c>
      <c r="H174" s="13" t="str">
        <f t="shared" si="4"/>
        <v>Morning</v>
      </c>
      <c r="I174" s="13">
        <f t="shared" si="5"/>
        <v>1</v>
      </c>
      <c r="J174" s="14" t="str">
        <f t="shared" si="6"/>
        <v>AC</v>
      </c>
      <c r="K174" s="15">
        <f t="shared" si="7"/>
        <v>6</v>
      </c>
      <c r="M174" s="15">
        <f t="shared" si="8"/>
        <v>0.8567001115</v>
      </c>
    </row>
    <row r="175">
      <c r="A175" s="10">
        <v>42370.21033564815</v>
      </c>
      <c r="B175" s="11">
        <v>0.964983333</v>
      </c>
      <c r="C175" s="11">
        <v>35.4</v>
      </c>
      <c r="D175" s="11">
        <v>0.61</v>
      </c>
      <c r="E175" s="12">
        <f t="shared" si="1"/>
        <v>5</v>
      </c>
      <c r="F175" s="13">
        <f t="shared" si="2"/>
        <v>0.001</v>
      </c>
      <c r="G175" s="13" t="str">
        <f t="shared" si="3"/>
        <v>High</v>
      </c>
      <c r="H175" s="13" t="str">
        <f t="shared" si="4"/>
        <v>Morning</v>
      </c>
      <c r="I175" s="13">
        <f t="shared" si="5"/>
        <v>2</v>
      </c>
      <c r="J175" s="14" t="str">
        <f t="shared" si="6"/>
        <v>Heater</v>
      </c>
      <c r="K175" s="15">
        <f t="shared" si="7"/>
        <v>7</v>
      </c>
      <c r="M175" s="15">
        <f t="shared" si="8"/>
        <v>0.8567001115</v>
      </c>
    </row>
    <row r="176">
      <c r="A176" s="10">
        <v>42370.21034722222</v>
      </c>
      <c r="B176" s="11">
        <v>0.660283333</v>
      </c>
      <c r="C176" s="11">
        <v>35.25</v>
      </c>
      <c r="D176" s="11">
        <v>0.64</v>
      </c>
      <c r="E176" s="12">
        <f t="shared" si="1"/>
        <v>5</v>
      </c>
      <c r="F176" s="13">
        <f t="shared" si="2"/>
        <v>0.0007</v>
      </c>
      <c r="G176" s="13" t="str">
        <f t="shared" si="3"/>
        <v>Normal</v>
      </c>
      <c r="H176" s="13" t="str">
        <f t="shared" si="4"/>
        <v>Morning</v>
      </c>
      <c r="I176" s="13">
        <f t="shared" si="5"/>
        <v>3</v>
      </c>
      <c r="J176" s="14" t="str">
        <f t="shared" si="6"/>
        <v>Fridge</v>
      </c>
      <c r="K176" s="15">
        <f t="shared" si="7"/>
        <v>8</v>
      </c>
      <c r="M176" s="15">
        <f t="shared" si="8"/>
        <v>0.8567001115</v>
      </c>
    </row>
    <row r="177">
      <c r="A177" s="10">
        <v>42370.21035879629</v>
      </c>
      <c r="B177" s="11">
        <v>0.35565</v>
      </c>
      <c r="C177" s="11">
        <v>35.25</v>
      </c>
      <c r="D177" s="11">
        <v>0.64</v>
      </c>
      <c r="E177" s="12">
        <f t="shared" si="1"/>
        <v>5</v>
      </c>
      <c r="F177" s="13">
        <f t="shared" si="2"/>
        <v>0.0004</v>
      </c>
      <c r="G177" s="13" t="str">
        <f t="shared" si="3"/>
        <v>Normal</v>
      </c>
      <c r="H177" s="13" t="str">
        <f t="shared" si="4"/>
        <v>Morning</v>
      </c>
      <c r="I177" s="13">
        <f t="shared" si="5"/>
        <v>1</v>
      </c>
      <c r="J177" s="14" t="str">
        <f t="shared" si="6"/>
        <v>AC</v>
      </c>
      <c r="K177" s="15">
        <f t="shared" si="7"/>
        <v>9</v>
      </c>
      <c r="M177" s="15">
        <f t="shared" si="8"/>
        <v>0.8567001115</v>
      </c>
    </row>
    <row r="178">
      <c r="A178" s="10">
        <v>42370.21037037037</v>
      </c>
      <c r="B178" s="11">
        <v>0.356166667</v>
      </c>
      <c r="C178" s="11">
        <v>35.25</v>
      </c>
      <c r="D178" s="11">
        <v>0.64</v>
      </c>
      <c r="E178" s="12">
        <f t="shared" si="1"/>
        <v>5</v>
      </c>
      <c r="F178" s="13">
        <f t="shared" si="2"/>
        <v>0.0004</v>
      </c>
      <c r="G178" s="13" t="str">
        <f t="shared" si="3"/>
        <v>Normal</v>
      </c>
      <c r="H178" s="13" t="str">
        <f t="shared" si="4"/>
        <v>Morning</v>
      </c>
      <c r="I178" s="13">
        <f t="shared" si="5"/>
        <v>2</v>
      </c>
      <c r="J178" s="14" t="str">
        <f t="shared" si="6"/>
        <v>Heater</v>
      </c>
      <c r="K178" s="15">
        <f t="shared" si="7"/>
        <v>10</v>
      </c>
      <c r="M178" s="15">
        <f t="shared" si="8"/>
        <v>0.8567001115</v>
      </c>
    </row>
    <row r="179">
      <c r="A179" s="10">
        <v>42370.210381944446</v>
      </c>
      <c r="B179" s="11">
        <v>0.355433333</v>
      </c>
      <c r="C179" s="11">
        <v>35.25</v>
      </c>
      <c r="D179" s="11">
        <v>0.64</v>
      </c>
      <c r="E179" s="12">
        <f t="shared" si="1"/>
        <v>5</v>
      </c>
      <c r="F179" s="13">
        <f t="shared" si="2"/>
        <v>0.0004</v>
      </c>
      <c r="G179" s="13" t="str">
        <f t="shared" si="3"/>
        <v>Normal</v>
      </c>
      <c r="H179" s="13" t="str">
        <f t="shared" si="4"/>
        <v>Morning</v>
      </c>
      <c r="I179" s="13">
        <f t="shared" si="5"/>
        <v>3</v>
      </c>
      <c r="J179" s="14" t="str">
        <f t="shared" si="6"/>
        <v>Fridge</v>
      </c>
      <c r="K179" s="15">
        <f t="shared" si="7"/>
        <v>11</v>
      </c>
      <c r="M179" s="15">
        <f t="shared" si="8"/>
        <v>0.8567001115</v>
      </c>
    </row>
    <row r="180">
      <c r="A180" s="10">
        <v>42370.210393518515</v>
      </c>
      <c r="B180" s="11">
        <v>0.353833333</v>
      </c>
      <c r="C180" s="11">
        <v>35.25</v>
      </c>
      <c r="D180" s="11">
        <v>0.64</v>
      </c>
      <c r="E180" s="12">
        <f t="shared" si="1"/>
        <v>5</v>
      </c>
      <c r="F180" s="13">
        <f t="shared" si="2"/>
        <v>0.0004</v>
      </c>
      <c r="G180" s="13" t="str">
        <f t="shared" si="3"/>
        <v>Normal</v>
      </c>
      <c r="H180" s="13" t="str">
        <f t="shared" si="4"/>
        <v>Afternoon</v>
      </c>
      <c r="I180" s="13">
        <f t="shared" si="5"/>
        <v>1</v>
      </c>
      <c r="J180" s="14" t="str">
        <f t="shared" si="6"/>
        <v>AC</v>
      </c>
      <c r="K180" s="15">
        <f t="shared" si="7"/>
        <v>12</v>
      </c>
      <c r="M180" s="15">
        <f t="shared" si="8"/>
        <v>0.8567001115</v>
      </c>
    </row>
    <row r="181">
      <c r="A181" s="10">
        <v>42370.21040509259</v>
      </c>
      <c r="B181" s="11">
        <v>0.366983333</v>
      </c>
      <c r="C181" s="11">
        <v>35.25</v>
      </c>
      <c r="D181" s="11">
        <v>0.64</v>
      </c>
      <c r="E181" s="12">
        <f t="shared" si="1"/>
        <v>5</v>
      </c>
      <c r="F181" s="13">
        <f t="shared" si="2"/>
        <v>0.0004</v>
      </c>
      <c r="G181" s="13" t="str">
        <f t="shared" si="3"/>
        <v>Normal</v>
      </c>
      <c r="H181" s="13" t="str">
        <f t="shared" si="4"/>
        <v>Afternoon</v>
      </c>
      <c r="I181" s="13">
        <f t="shared" si="5"/>
        <v>2</v>
      </c>
      <c r="J181" s="14" t="str">
        <f t="shared" si="6"/>
        <v>Heater</v>
      </c>
      <c r="K181" s="15">
        <f t="shared" si="7"/>
        <v>13</v>
      </c>
      <c r="M181" s="15">
        <f t="shared" si="8"/>
        <v>0.8567001115</v>
      </c>
    </row>
    <row r="182">
      <c r="A182" s="10">
        <v>42370.21041666667</v>
      </c>
      <c r="B182" s="11">
        <v>0.380316667</v>
      </c>
      <c r="C182" s="11">
        <v>35.25</v>
      </c>
      <c r="D182" s="11">
        <v>0.64</v>
      </c>
      <c r="E182" s="12">
        <f t="shared" si="1"/>
        <v>5</v>
      </c>
      <c r="F182" s="13">
        <f t="shared" si="2"/>
        <v>0.0004</v>
      </c>
      <c r="G182" s="13" t="str">
        <f t="shared" si="3"/>
        <v>Normal</v>
      </c>
      <c r="H182" s="13" t="str">
        <f t="shared" si="4"/>
        <v>Afternoon</v>
      </c>
      <c r="I182" s="13">
        <f t="shared" si="5"/>
        <v>3</v>
      </c>
      <c r="J182" s="14" t="str">
        <f t="shared" si="6"/>
        <v>Fridge</v>
      </c>
      <c r="K182" s="15">
        <f t="shared" si="7"/>
        <v>14</v>
      </c>
      <c r="M182" s="15">
        <f t="shared" si="8"/>
        <v>0.8567001115</v>
      </c>
    </row>
    <row r="183">
      <c r="A183" s="10">
        <v>42370.21042824074</v>
      </c>
      <c r="B183" s="11">
        <v>0.381716667</v>
      </c>
      <c r="C183" s="11">
        <v>35.25</v>
      </c>
      <c r="D183" s="11">
        <v>0.64</v>
      </c>
      <c r="E183" s="12">
        <f t="shared" si="1"/>
        <v>5</v>
      </c>
      <c r="F183" s="13">
        <f t="shared" si="2"/>
        <v>0.0004</v>
      </c>
      <c r="G183" s="13" t="str">
        <f t="shared" si="3"/>
        <v>Normal</v>
      </c>
      <c r="H183" s="13" t="str">
        <f t="shared" si="4"/>
        <v>Afternoon</v>
      </c>
      <c r="I183" s="13">
        <f t="shared" si="5"/>
        <v>1</v>
      </c>
      <c r="J183" s="14" t="str">
        <f t="shared" si="6"/>
        <v>AC</v>
      </c>
      <c r="K183" s="15">
        <f t="shared" si="7"/>
        <v>15</v>
      </c>
      <c r="M183" s="15">
        <f t="shared" si="8"/>
        <v>0.8567001115</v>
      </c>
    </row>
    <row r="184">
      <c r="A184" s="10">
        <v>42370.210439814815</v>
      </c>
      <c r="B184" s="11">
        <v>0.385166667</v>
      </c>
      <c r="C184" s="11">
        <v>35.25</v>
      </c>
      <c r="D184" s="11">
        <v>0.64</v>
      </c>
      <c r="E184" s="12">
        <f t="shared" si="1"/>
        <v>5</v>
      </c>
      <c r="F184" s="13">
        <f t="shared" si="2"/>
        <v>0.0004</v>
      </c>
      <c r="G184" s="13" t="str">
        <f t="shared" si="3"/>
        <v>Normal</v>
      </c>
      <c r="H184" s="13" t="str">
        <f t="shared" si="4"/>
        <v>Afternoon</v>
      </c>
      <c r="I184" s="13">
        <f t="shared" si="5"/>
        <v>2</v>
      </c>
      <c r="J184" s="14" t="str">
        <f t="shared" si="6"/>
        <v>Heater</v>
      </c>
      <c r="K184" s="15">
        <f t="shared" si="7"/>
        <v>16</v>
      </c>
      <c r="M184" s="15">
        <f t="shared" si="8"/>
        <v>0.8567001115</v>
      </c>
    </row>
    <row r="185">
      <c r="A185" s="10">
        <v>42370.21045138889</v>
      </c>
      <c r="B185" s="11">
        <v>0.43125</v>
      </c>
      <c r="C185" s="11">
        <v>35.25</v>
      </c>
      <c r="D185" s="11">
        <v>0.64</v>
      </c>
      <c r="E185" s="12">
        <f t="shared" si="1"/>
        <v>5</v>
      </c>
      <c r="F185" s="13">
        <f t="shared" si="2"/>
        <v>0.0004</v>
      </c>
      <c r="G185" s="13" t="str">
        <f t="shared" si="3"/>
        <v>Normal</v>
      </c>
      <c r="H185" s="13" t="str">
        <f t="shared" si="4"/>
        <v>Afternoon</v>
      </c>
      <c r="I185" s="13">
        <f t="shared" si="5"/>
        <v>3</v>
      </c>
      <c r="J185" s="14" t="str">
        <f t="shared" si="6"/>
        <v>Fridge</v>
      </c>
      <c r="K185" s="15">
        <f t="shared" si="7"/>
        <v>17</v>
      </c>
      <c r="M185" s="15">
        <f t="shared" si="8"/>
        <v>0.8567001115</v>
      </c>
    </row>
    <row r="186">
      <c r="A186" s="10">
        <v>42370.21046296296</v>
      </c>
      <c r="B186" s="11">
        <v>0.532833333</v>
      </c>
      <c r="C186" s="11">
        <v>35.25</v>
      </c>
      <c r="D186" s="11">
        <v>0.64</v>
      </c>
      <c r="E186" s="12">
        <f t="shared" si="1"/>
        <v>5</v>
      </c>
      <c r="F186" s="13">
        <f t="shared" si="2"/>
        <v>0.0005</v>
      </c>
      <c r="G186" s="13" t="str">
        <f t="shared" si="3"/>
        <v>Normal</v>
      </c>
      <c r="H186" s="13" t="str">
        <f t="shared" si="4"/>
        <v>Evening</v>
      </c>
      <c r="I186" s="13">
        <f t="shared" si="5"/>
        <v>1</v>
      </c>
      <c r="J186" s="14" t="str">
        <f t="shared" si="6"/>
        <v>AC</v>
      </c>
      <c r="K186" s="15">
        <f t="shared" si="7"/>
        <v>18</v>
      </c>
      <c r="M186" s="15">
        <f t="shared" si="8"/>
        <v>0.8567001115</v>
      </c>
    </row>
    <row r="187">
      <c r="A187" s="10">
        <v>42370.21047453704</v>
      </c>
      <c r="B187" s="11">
        <v>0.707933333</v>
      </c>
      <c r="C187" s="11">
        <v>35.25</v>
      </c>
      <c r="D187" s="11">
        <v>0.64</v>
      </c>
      <c r="E187" s="12">
        <f t="shared" si="1"/>
        <v>5</v>
      </c>
      <c r="F187" s="13">
        <f t="shared" si="2"/>
        <v>0.0007</v>
      </c>
      <c r="G187" s="13" t="str">
        <f t="shared" si="3"/>
        <v>Normal</v>
      </c>
      <c r="H187" s="13" t="str">
        <f t="shared" si="4"/>
        <v>Evening</v>
      </c>
      <c r="I187" s="13">
        <f t="shared" si="5"/>
        <v>2</v>
      </c>
      <c r="J187" s="14" t="str">
        <f t="shared" si="6"/>
        <v>Heater</v>
      </c>
      <c r="K187" s="15">
        <f t="shared" si="7"/>
        <v>19</v>
      </c>
      <c r="M187" s="15">
        <f t="shared" si="8"/>
        <v>0.8567001115</v>
      </c>
    </row>
    <row r="188">
      <c r="A188" s="10">
        <v>42370.210486111115</v>
      </c>
      <c r="B188" s="11">
        <v>1.146783333</v>
      </c>
      <c r="C188" s="11">
        <v>35.25</v>
      </c>
      <c r="D188" s="11">
        <v>0.64</v>
      </c>
      <c r="E188" s="12">
        <f t="shared" si="1"/>
        <v>5</v>
      </c>
      <c r="F188" s="13">
        <f t="shared" si="2"/>
        <v>0.0011</v>
      </c>
      <c r="G188" s="13" t="str">
        <f t="shared" si="3"/>
        <v>High</v>
      </c>
      <c r="H188" s="13" t="str">
        <f t="shared" si="4"/>
        <v>Evening</v>
      </c>
      <c r="I188" s="13">
        <f t="shared" si="5"/>
        <v>3</v>
      </c>
      <c r="J188" s="14" t="str">
        <f t="shared" si="6"/>
        <v>Fridge</v>
      </c>
      <c r="K188" s="15">
        <f t="shared" si="7"/>
        <v>20</v>
      </c>
      <c r="M188" s="15">
        <f t="shared" si="8"/>
        <v>0.8567001115</v>
      </c>
    </row>
    <row r="189">
      <c r="A189" s="10">
        <v>42370.210497685184</v>
      </c>
      <c r="B189" s="11">
        <v>1.146333333</v>
      </c>
      <c r="C189" s="11">
        <v>35.25</v>
      </c>
      <c r="D189" s="11">
        <v>0.64</v>
      </c>
      <c r="E189" s="12">
        <f t="shared" si="1"/>
        <v>5</v>
      </c>
      <c r="F189" s="13">
        <f t="shared" si="2"/>
        <v>0.0011</v>
      </c>
      <c r="G189" s="13" t="str">
        <f t="shared" si="3"/>
        <v>High</v>
      </c>
      <c r="H189" s="13" t="str">
        <f t="shared" si="4"/>
        <v>Evening</v>
      </c>
      <c r="I189" s="13">
        <f t="shared" si="5"/>
        <v>1</v>
      </c>
      <c r="J189" s="14" t="str">
        <f t="shared" si="6"/>
        <v>AC</v>
      </c>
      <c r="K189" s="15">
        <f t="shared" si="7"/>
        <v>21</v>
      </c>
      <c r="M189" s="15">
        <f t="shared" si="8"/>
        <v>0.8567001115</v>
      </c>
    </row>
    <row r="190">
      <c r="A190" s="10">
        <v>42370.21050925926</v>
      </c>
      <c r="B190" s="11">
        <v>1.140816667</v>
      </c>
      <c r="C190" s="11">
        <v>35.25</v>
      </c>
      <c r="D190" s="11">
        <v>0.64</v>
      </c>
      <c r="E190" s="12">
        <f t="shared" si="1"/>
        <v>5</v>
      </c>
      <c r="F190" s="13">
        <f t="shared" si="2"/>
        <v>0.0011</v>
      </c>
      <c r="G190" s="13" t="str">
        <f t="shared" si="3"/>
        <v>High</v>
      </c>
      <c r="H190" s="13" t="str">
        <f t="shared" si="4"/>
        <v>Evening</v>
      </c>
      <c r="I190" s="13">
        <f t="shared" si="5"/>
        <v>2</v>
      </c>
      <c r="J190" s="14" t="str">
        <f t="shared" si="6"/>
        <v>Heater</v>
      </c>
      <c r="K190" s="15">
        <f t="shared" si="7"/>
        <v>22</v>
      </c>
      <c r="M190" s="15">
        <f t="shared" si="8"/>
        <v>0.8567001115</v>
      </c>
    </row>
    <row r="191">
      <c r="A191" s="10">
        <v>42370.21052083334</v>
      </c>
      <c r="B191" s="11">
        <v>1.104866667</v>
      </c>
      <c r="C191" s="11">
        <v>35.25</v>
      </c>
      <c r="D191" s="11">
        <v>0.64</v>
      </c>
      <c r="E191" s="12">
        <f t="shared" si="1"/>
        <v>5</v>
      </c>
      <c r="F191" s="13">
        <f t="shared" si="2"/>
        <v>0.0011</v>
      </c>
      <c r="G191" s="13" t="str">
        <f t="shared" si="3"/>
        <v>High</v>
      </c>
      <c r="H191" s="13" t="str">
        <f t="shared" si="4"/>
        <v>Evening</v>
      </c>
      <c r="I191" s="13">
        <f t="shared" si="5"/>
        <v>3</v>
      </c>
      <c r="J191" s="14" t="str">
        <f t="shared" si="6"/>
        <v>Fridge</v>
      </c>
      <c r="K191" s="15">
        <f t="shared" si="7"/>
        <v>23</v>
      </c>
      <c r="M191" s="15">
        <f t="shared" si="8"/>
        <v>0.8567001115</v>
      </c>
    </row>
    <row r="192">
      <c r="A192" s="10">
        <v>42370.21053240741</v>
      </c>
      <c r="B192" s="11">
        <v>1.004516667</v>
      </c>
      <c r="C192" s="11">
        <v>35.25</v>
      </c>
      <c r="D192" s="11">
        <v>0.64</v>
      </c>
      <c r="E192" s="12">
        <f t="shared" si="1"/>
        <v>5</v>
      </c>
      <c r="F192" s="13">
        <f t="shared" si="2"/>
        <v>0.001</v>
      </c>
      <c r="G192" s="13" t="str">
        <f t="shared" si="3"/>
        <v>High</v>
      </c>
      <c r="H192" s="13" t="str">
        <f t="shared" si="4"/>
        <v>Night</v>
      </c>
      <c r="I192" s="13">
        <f t="shared" si="5"/>
        <v>1</v>
      </c>
      <c r="J192" s="14" t="str">
        <f t="shared" si="6"/>
        <v>AC</v>
      </c>
      <c r="K192" s="15">
        <f t="shared" si="7"/>
        <v>0</v>
      </c>
      <c r="M192" s="15">
        <f t="shared" si="8"/>
        <v>0.8567001115</v>
      </c>
    </row>
    <row r="193">
      <c r="A193" s="10">
        <v>42370.21054398148</v>
      </c>
      <c r="B193" s="11">
        <v>0.69745</v>
      </c>
      <c r="C193" s="11">
        <v>35.25</v>
      </c>
      <c r="D193" s="11">
        <v>0.64</v>
      </c>
      <c r="E193" s="12">
        <f t="shared" si="1"/>
        <v>5</v>
      </c>
      <c r="F193" s="13">
        <f t="shared" si="2"/>
        <v>0.0007</v>
      </c>
      <c r="G193" s="13" t="str">
        <f t="shared" si="3"/>
        <v>Normal</v>
      </c>
      <c r="H193" s="13" t="str">
        <f t="shared" si="4"/>
        <v>Night</v>
      </c>
      <c r="I193" s="13">
        <f t="shared" si="5"/>
        <v>2</v>
      </c>
      <c r="J193" s="14" t="str">
        <f t="shared" si="6"/>
        <v>Heater</v>
      </c>
      <c r="K193" s="15">
        <f t="shared" si="7"/>
        <v>1</v>
      </c>
      <c r="M193" s="15">
        <f t="shared" si="8"/>
        <v>0.8567001115</v>
      </c>
    </row>
    <row r="194">
      <c r="A194" s="10">
        <v>42370.21055555556</v>
      </c>
      <c r="B194" s="11">
        <v>0.400966667</v>
      </c>
      <c r="C194" s="11">
        <v>35.25</v>
      </c>
      <c r="D194" s="11">
        <v>0.64</v>
      </c>
      <c r="E194" s="12">
        <f t="shared" si="1"/>
        <v>5</v>
      </c>
      <c r="F194" s="13">
        <f t="shared" si="2"/>
        <v>0.0004</v>
      </c>
      <c r="G194" s="13" t="str">
        <f t="shared" si="3"/>
        <v>Normal</v>
      </c>
      <c r="H194" s="13" t="str">
        <f t="shared" si="4"/>
        <v>Night</v>
      </c>
      <c r="I194" s="13">
        <f t="shared" si="5"/>
        <v>3</v>
      </c>
      <c r="J194" s="14" t="str">
        <f t="shared" si="6"/>
        <v>Fridge</v>
      </c>
      <c r="K194" s="15">
        <f t="shared" si="7"/>
        <v>2</v>
      </c>
      <c r="M194" s="15">
        <f t="shared" si="8"/>
        <v>0.8567001115</v>
      </c>
    </row>
    <row r="195">
      <c r="A195" s="10">
        <v>42370.21056712963</v>
      </c>
      <c r="B195" s="11">
        <v>0.394983333</v>
      </c>
      <c r="C195" s="11">
        <v>35.25</v>
      </c>
      <c r="D195" s="11">
        <v>0.64</v>
      </c>
      <c r="E195" s="12">
        <f t="shared" si="1"/>
        <v>5</v>
      </c>
      <c r="F195" s="13">
        <f t="shared" si="2"/>
        <v>0.0004</v>
      </c>
      <c r="G195" s="13" t="str">
        <f t="shared" si="3"/>
        <v>Normal</v>
      </c>
      <c r="H195" s="13" t="str">
        <f t="shared" si="4"/>
        <v>Night</v>
      </c>
      <c r="I195" s="13">
        <f t="shared" si="5"/>
        <v>1</v>
      </c>
      <c r="J195" s="14" t="str">
        <f t="shared" si="6"/>
        <v>AC</v>
      </c>
      <c r="K195" s="15">
        <f t="shared" si="7"/>
        <v>3</v>
      </c>
      <c r="M195" s="15">
        <f t="shared" si="8"/>
        <v>0.8567001115</v>
      </c>
    </row>
    <row r="196">
      <c r="A196" s="10">
        <v>42370.2105787037</v>
      </c>
      <c r="B196" s="11">
        <v>0.578283333</v>
      </c>
      <c r="C196" s="11">
        <v>35.25</v>
      </c>
      <c r="D196" s="11">
        <v>0.64</v>
      </c>
      <c r="E196" s="12">
        <f t="shared" si="1"/>
        <v>5</v>
      </c>
      <c r="F196" s="13">
        <f t="shared" si="2"/>
        <v>0.0006</v>
      </c>
      <c r="G196" s="13" t="str">
        <f t="shared" si="3"/>
        <v>Normal</v>
      </c>
      <c r="H196" s="13" t="str">
        <f t="shared" si="4"/>
        <v>Night</v>
      </c>
      <c r="I196" s="13">
        <f t="shared" si="5"/>
        <v>2</v>
      </c>
      <c r="J196" s="14" t="str">
        <f t="shared" si="6"/>
        <v>Heater</v>
      </c>
      <c r="K196" s="15">
        <f t="shared" si="7"/>
        <v>4</v>
      </c>
      <c r="M196" s="15">
        <f t="shared" si="8"/>
        <v>0.8567001115</v>
      </c>
    </row>
    <row r="197">
      <c r="A197" s="10">
        <v>42370.21059027778</v>
      </c>
      <c r="B197" s="11">
        <v>0.6243</v>
      </c>
      <c r="C197" s="11">
        <v>35.25</v>
      </c>
      <c r="D197" s="11">
        <v>0.64</v>
      </c>
      <c r="E197" s="12">
        <f t="shared" si="1"/>
        <v>5</v>
      </c>
      <c r="F197" s="13">
        <f t="shared" si="2"/>
        <v>0.0006</v>
      </c>
      <c r="G197" s="13" t="str">
        <f t="shared" si="3"/>
        <v>Normal</v>
      </c>
      <c r="H197" s="13" t="str">
        <f t="shared" si="4"/>
        <v>Night</v>
      </c>
      <c r="I197" s="13">
        <f t="shared" si="5"/>
        <v>3</v>
      </c>
      <c r="J197" s="14" t="str">
        <f t="shared" si="6"/>
        <v>Fridge</v>
      </c>
      <c r="K197" s="15">
        <f t="shared" si="7"/>
        <v>5</v>
      </c>
      <c r="M197" s="15">
        <f t="shared" si="8"/>
        <v>0.8567001115</v>
      </c>
    </row>
    <row r="198">
      <c r="A198" s="10">
        <v>42370.21060185185</v>
      </c>
      <c r="B198" s="11">
        <v>0.836433333</v>
      </c>
      <c r="C198" s="11">
        <v>35.25</v>
      </c>
      <c r="D198" s="11">
        <v>0.64</v>
      </c>
      <c r="E198" s="12">
        <f t="shared" si="1"/>
        <v>5</v>
      </c>
      <c r="F198" s="13">
        <f t="shared" si="2"/>
        <v>0.0008</v>
      </c>
      <c r="G198" s="13" t="str">
        <f t="shared" si="3"/>
        <v>Normal</v>
      </c>
      <c r="H198" s="13" t="str">
        <f t="shared" si="4"/>
        <v>Morning</v>
      </c>
      <c r="I198" s="13">
        <f t="shared" si="5"/>
        <v>1</v>
      </c>
      <c r="J198" s="14" t="str">
        <f t="shared" si="6"/>
        <v>AC</v>
      </c>
      <c r="K198" s="15">
        <f t="shared" si="7"/>
        <v>6</v>
      </c>
      <c r="M198" s="15">
        <f t="shared" si="8"/>
        <v>0.8567001115</v>
      </c>
    </row>
    <row r="199">
      <c r="A199" s="10">
        <v>42370.21061342592</v>
      </c>
      <c r="B199" s="11">
        <v>0.81695</v>
      </c>
      <c r="C199" s="11">
        <v>35.25</v>
      </c>
      <c r="D199" s="11">
        <v>0.64</v>
      </c>
      <c r="E199" s="12">
        <f t="shared" si="1"/>
        <v>5</v>
      </c>
      <c r="F199" s="13">
        <f t="shared" si="2"/>
        <v>0.0008</v>
      </c>
      <c r="G199" s="13" t="str">
        <f t="shared" si="3"/>
        <v>Normal</v>
      </c>
      <c r="H199" s="13" t="str">
        <f t="shared" si="4"/>
        <v>Morning</v>
      </c>
      <c r="I199" s="13">
        <f t="shared" si="5"/>
        <v>2</v>
      </c>
      <c r="J199" s="14" t="str">
        <f t="shared" si="6"/>
        <v>Heater</v>
      </c>
      <c r="K199" s="15">
        <f t="shared" si="7"/>
        <v>7</v>
      </c>
      <c r="M199" s="15">
        <f t="shared" si="8"/>
        <v>0.8567001115</v>
      </c>
    </row>
    <row r="200">
      <c r="A200" s="10">
        <v>42370.210625</v>
      </c>
      <c r="B200" s="11">
        <v>0.795916667</v>
      </c>
      <c r="C200" s="11">
        <v>35.25</v>
      </c>
      <c r="D200" s="11">
        <v>0.64</v>
      </c>
      <c r="E200" s="12">
        <f t="shared" si="1"/>
        <v>5</v>
      </c>
      <c r="F200" s="13">
        <f t="shared" si="2"/>
        <v>0.0008</v>
      </c>
      <c r="G200" s="13" t="str">
        <f t="shared" si="3"/>
        <v>Normal</v>
      </c>
      <c r="H200" s="13" t="str">
        <f t="shared" si="4"/>
        <v>Morning</v>
      </c>
      <c r="I200" s="13">
        <f t="shared" si="5"/>
        <v>3</v>
      </c>
      <c r="J200" s="14" t="str">
        <f t="shared" si="6"/>
        <v>Fridge</v>
      </c>
      <c r="K200" s="15">
        <f t="shared" si="7"/>
        <v>8</v>
      </c>
      <c r="M200" s="15">
        <f t="shared" si="8"/>
        <v>0.8567001115</v>
      </c>
    </row>
    <row r="201">
      <c r="A201" s="10">
        <v>42370.21063657408</v>
      </c>
      <c r="B201" s="11">
        <v>0.795116667</v>
      </c>
      <c r="C201" s="11">
        <v>35.25</v>
      </c>
      <c r="D201" s="11">
        <v>0.64</v>
      </c>
      <c r="E201" s="12">
        <f t="shared" si="1"/>
        <v>5</v>
      </c>
      <c r="F201" s="13">
        <f t="shared" si="2"/>
        <v>0.0008</v>
      </c>
      <c r="G201" s="13" t="str">
        <f t="shared" si="3"/>
        <v>Normal</v>
      </c>
      <c r="H201" s="13" t="str">
        <f t="shared" si="4"/>
        <v>Morning</v>
      </c>
      <c r="I201" s="13">
        <f t="shared" si="5"/>
        <v>1</v>
      </c>
      <c r="J201" s="14" t="str">
        <f t="shared" si="6"/>
        <v>AC</v>
      </c>
      <c r="K201" s="15">
        <f t="shared" si="7"/>
        <v>9</v>
      </c>
      <c r="M201" s="15">
        <f t="shared" si="8"/>
        <v>0.8567001115</v>
      </c>
    </row>
    <row r="202">
      <c r="A202" s="10">
        <v>42370.210648148146</v>
      </c>
      <c r="B202" s="11">
        <v>0.856283333</v>
      </c>
      <c r="C202" s="11">
        <v>35.25</v>
      </c>
      <c r="D202" s="11">
        <v>0.64</v>
      </c>
      <c r="E202" s="12">
        <f t="shared" si="1"/>
        <v>5</v>
      </c>
      <c r="F202" s="13">
        <f t="shared" si="2"/>
        <v>0.0009</v>
      </c>
      <c r="G202" s="13" t="str">
        <f t="shared" si="3"/>
        <v>Normal</v>
      </c>
      <c r="H202" s="13" t="str">
        <f t="shared" si="4"/>
        <v>Morning</v>
      </c>
      <c r="I202" s="13">
        <f t="shared" si="5"/>
        <v>2</v>
      </c>
      <c r="J202" s="14" t="str">
        <f t="shared" si="6"/>
        <v>Heater</v>
      </c>
      <c r="K202" s="15">
        <f t="shared" si="7"/>
        <v>10</v>
      </c>
      <c r="M202" s="15">
        <f t="shared" si="8"/>
        <v>0.8567001115</v>
      </c>
    </row>
    <row r="203">
      <c r="A203" s="10">
        <v>42370.21065972222</v>
      </c>
      <c r="B203" s="11">
        <v>0.964266667</v>
      </c>
      <c r="C203" s="11">
        <v>35.25</v>
      </c>
      <c r="D203" s="11">
        <v>0.64</v>
      </c>
      <c r="E203" s="12">
        <f t="shared" si="1"/>
        <v>5</v>
      </c>
      <c r="F203" s="13">
        <f t="shared" si="2"/>
        <v>0.001</v>
      </c>
      <c r="G203" s="13" t="str">
        <f t="shared" si="3"/>
        <v>High</v>
      </c>
      <c r="H203" s="13" t="str">
        <f t="shared" si="4"/>
        <v>Morning</v>
      </c>
      <c r="I203" s="13">
        <f t="shared" si="5"/>
        <v>3</v>
      </c>
      <c r="J203" s="14" t="str">
        <f t="shared" si="6"/>
        <v>Fridge</v>
      </c>
      <c r="K203" s="15">
        <f t="shared" si="7"/>
        <v>11</v>
      </c>
      <c r="M203" s="15">
        <f t="shared" si="8"/>
        <v>0.8567001115</v>
      </c>
    </row>
    <row r="204">
      <c r="A204" s="10">
        <v>42370.2106712963</v>
      </c>
      <c r="B204" s="11">
        <v>1.3912</v>
      </c>
      <c r="C204" s="11">
        <v>35.25</v>
      </c>
      <c r="D204" s="11">
        <v>0.64</v>
      </c>
      <c r="E204" s="12">
        <f t="shared" si="1"/>
        <v>5</v>
      </c>
      <c r="F204" s="13">
        <f t="shared" si="2"/>
        <v>0.0014</v>
      </c>
      <c r="G204" s="13" t="str">
        <f t="shared" si="3"/>
        <v>High</v>
      </c>
      <c r="H204" s="13" t="str">
        <f t="shared" si="4"/>
        <v>Afternoon</v>
      </c>
      <c r="I204" s="13">
        <f t="shared" si="5"/>
        <v>1</v>
      </c>
      <c r="J204" s="14" t="str">
        <f t="shared" si="6"/>
        <v>AC</v>
      </c>
      <c r="K204" s="15">
        <f t="shared" si="7"/>
        <v>12</v>
      </c>
      <c r="M204" s="15">
        <f t="shared" si="8"/>
        <v>0.8567001115</v>
      </c>
    </row>
    <row r="205">
      <c r="A205" s="10">
        <v>42370.21068287037</v>
      </c>
      <c r="B205" s="11">
        <v>1.524383333</v>
      </c>
      <c r="C205" s="11">
        <v>35.25</v>
      </c>
      <c r="D205" s="11">
        <v>0.64</v>
      </c>
      <c r="E205" s="12">
        <f t="shared" si="1"/>
        <v>5</v>
      </c>
      <c r="F205" s="13">
        <f t="shared" si="2"/>
        <v>0.0015</v>
      </c>
      <c r="G205" s="13" t="str">
        <f t="shared" si="3"/>
        <v>High</v>
      </c>
      <c r="H205" s="13" t="str">
        <f t="shared" si="4"/>
        <v>Afternoon</v>
      </c>
      <c r="I205" s="13">
        <f t="shared" si="5"/>
        <v>2</v>
      </c>
      <c r="J205" s="14" t="str">
        <f t="shared" si="6"/>
        <v>Heater</v>
      </c>
      <c r="K205" s="15">
        <f t="shared" si="7"/>
        <v>13</v>
      </c>
      <c r="M205" s="15">
        <f t="shared" si="8"/>
        <v>0.8567001115</v>
      </c>
    </row>
    <row r="206">
      <c r="A206" s="10">
        <v>42370.210694444446</v>
      </c>
      <c r="B206" s="11">
        <v>1.524333333</v>
      </c>
      <c r="C206" s="11">
        <v>35.25</v>
      </c>
      <c r="D206" s="11">
        <v>0.64</v>
      </c>
      <c r="E206" s="12">
        <f t="shared" si="1"/>
        <v>5</v>
      </c>
      <c r="F206" s="13">
        <f t="shared" si="2"/>
        <v>0.0015</v>
      </c>
      <c r="G206" s="13" t="str">
        <f t="shared" si="3"/>
        <v>High</v>
      </c>
      <c r="H206" s="13" t="str">
        <f t="shared" si="4"/>
        <v>Afternoon</v>
      </c>
      <c r="I206" s="13">
        <f t="shared" si="5"/>
        <v>3</v>
      </c>
      <c r="J206" s="14" t="str">
        <f t="shared" si="6"/>
        <v>Fridge</v>
      </c>
      <c r="K206" s="15">
        <f t="shared" si="7"/>
        <v>14</v>
      </c>
      <c r="M206" s="15">
        <f t="shared" si="8"/>
        <v>0.8567001115</v>
      </c>
    </row>
    <row r="207">
      <c r="A207" s="10">
        <v>42370.21070601852</v>
      </c>
      <c r="B207" s="11">
        <v>1.531166667</v>
      </c>
      <c r="C207" s="11">
        <v>35.25</v>
      </c>
      <c r="D207" s="11">
        <v>0.64</v>
      </c>
      <c r="E207" s="12">
        <f t="shared" si="1"/>
        <v>5</v>
      </c>
      <c r="F207" s="13">
        <f t="shared" si="2"/>
        <v>0.0015</v>
      </c>
      <c r="G207" s="13" t="str">
        <f t="shared" si="3"/>
        <v>High</v>
      </c>
      <c r="H207" s="13" t="str">
        <f t="shared" si="4"/>
        <v>Afternoon</v>
      </c>
      <c r="I207" s="13">
        <f t="shared" si="5"/>
        <v>1</v>
      </c>
      <c r="J207" s="14" t="str">
        <f t="shared" si="6"/>
        <v>AC</v>
      </c>
      <c r="K207" s="15">
        <f t="shared" si="7"/>
        <v>15</v>
      </c>
      <c r="M207" s="15">
        <f t="shared" si="8"/>
        <v>0.8567001115</v>
      </c>
    </row>
    <row r="208">
      <c r="A208" s="10">
        <v>42370.21071759259</v>
      </c>
      <c r="B208" s="11">
        <v>1.462716667</v>
      </c>
      <c r="C208" s="11">
        <v>35.25</v>
      </c>
      <c r="D208" s="11">
        <v>0.64</v>
      </c>
      <c r="E208" s="12">
        <f t="shared" si="1"/>
        <v>5</v>
      </c>
      <c r="F208" s="13">
        <f t="shared" si="2"/>
        <v>0.0015</v>
      </c>
      <c r="G208" s="13" t="str">
        <f t="shared" si="3"/>
        <v>High</v>
      </c>
      <c r="H208" s="13" t="str">
        <f t="shared" si="4"/>
        <v>Afternoon</v>
      </c>
      <c r="I208" s="13">
        <f t="shared" si="5"/>
        <v>2</v>
      </c>
      <c r="J208" s="14" t="str">
        <f t="shared" si="6"/>
        <v>Heater</v>
      </c>
      <c r="K208" s="15">
        <f t="shared" si="7"/>
        <v>16</v>
      </c>
      <c r="M208" s="15">
        <f t="shared" si="8"/>
        <v>0.8567001115</v>
      </c>
    </row>
    <row r="209">
      <c r="A209" s="10">
        <v>42370.21072916666</v>
      </c>
      <c r="B209" s="11">
        <v>1.407533333</v>
      </c>
      <c r="C209" s="11">
        <v>35.25</v>
      </c>
      <c r="D209" s="11">
        <v>0.64</v>
      </c>
      <c r="E209" s="12">
        <f t="shared" si="1"/>
        <v>5</v>
      </c>
      <c r="F209" s="13">
        <f t="shared" si="2"/>
        <v>0.0014</v>
      </c>
      <c r="G209" s="13" t="str">
        <f t="shared" si="3"/>
        <v>High</v>
      </c>
      <c r="H209" s="13" t="str">
        <f t="shared" si="4"/>
        <v>Afternoon</v>
      </c>
      <c r="I209" s="13">
        <f t="shared" si="5"/>
        <v>3</v>
      </c>
      <c r="J209" s="14" t="str">
        <f t="shared" si="6"/>
        <v>Fridge</v>
      </c>
      <c r="K209" s="15">
        <f t="shared" si="7"/>
        <v>17</v>
      </c>
      <c r="M209" s="15">
        <f t="shared" si="8"/>
        <v>0.8567001115</v>
      </c>
    </row>
    <row r="210">
      <c r="A210" s="10">
        <v>42370.210740740746</v>
      </c>
      <c r="B210" s="11">
        <v>0.906033333</v>
      </c>
      <c r="C210" s="11">
        <v>35.25</v>
      </c>
      <c r="D210" s="11">
        <v>0.64</v>
      </c>
      <c r="E210" s="12">
        <f t="shared" si="1"/>
        <v>5</v>
      </c>
      <c r="F210" s="13">
        <f t="shared" si="2"/>
        <v>0.0009</v>
      </c>
      <c r="G210" s="13" t="str">
        <f t="shared" si="3"/>
        <v>High</v>
      </c>
      <c r="H210" s="13" t="str">
        <f t="shared" si="4"/>
        <v>Evening</v>
      </c>
      <c r="I210" s="13">
        <f t="shared" si="5"/>
        <v>1</v>
      </c>
      <c r="J210" s="14" t="str">
        <f t="shared" si="6"/>
        <v>AC</v>
      </c>
      <c r="K210" s="15">
        <f t="shared" si="7"/>
        <v>18</v>
      </c>
      <c r="M210" s="15">
        <f t="shared" si="8"/>
        <v>0.8567001115</v>
      </c>
    </row>
    <row r="211">
      <c r="A211" s="10">
        <v>42370.210752314815</v>
      </c>
      <c r="B211" s="11">
        <v>0.8744</v>
      </c>
      <c r="C211" s="11">
        <v>35.25</v>
      </c>
      <c r="D211" s="11">
        <v>0.64</v>
      </c>
      <c r="E211" s="12">
        <f t="shared" si="1"/>
        <v>5</v>
      </c>
      <c r="F211" s="13">
        <f t="shared" si="2"/>
        <v>0.0009</v>
      </c>
      <c r="G211" s="13" t="str">
        <f t="shared" si="3"/>
        <v>High</v>
      </c>
      <c r="H211" s="13" t="str">
        <f t="shared" si="4"/>
        <v>Evening</v>
      </c>
      <c r="I211" s="13">
        <f t="shared" si="5"/>
        <v>2</v>
      </c>
      <c r="J211" s="14" t="str">
        <f t="shared" si="6"/>
        <v>Heater</v>
      </c>
      <c r="K211" s="15">
        <f t="shared" si="7"/>
        <v>19</v>
      </c>
      <c r="M211" s="15">
        <f t="shared" si="8"/>
        <v>0.8567001115</v>
      </c>
    </row>
    <row r="212">
      <c r="A212" s="10">
        <v>42370.210763888885</v>
      </c>
      <c r="B212" s="11">
        <v>0.833916667</v>
      </c>
      <c r="C212" s="11">
        <v>35.25</v>
      </c>
      <c r="D212" s="11">
        <v>0.64</v>
      </c>
      <c r="E212" s="12">
        <f t="shared" si="1"/>
        <v>5</v>
      </c>
      <c r="F212" s="13">
        <f t="shared" si="2"/>
        <v>0.0008</v>
      </c>
      <c r="G212" s="13" t="str">
        <f t="shared" si="3"/>
        <v>Normal</v>
      </c>
      <c r="H212" s="13" t="str">
        <f t="shared" si="4"/>
        <v>Evening</v>
      </c>
      <c r="I212" s="13">
        <f t="shared" si="5"/>
        <v>3</v>
      </c>
      <c r="J212" s="14" t="str">
        <f t="shared" si="6"/>
        <v>Fridge</v>
      </c>
      <c r="K212" s="15">
        <f t="shared" si="7"/>
        <v>20</v>
      </c>
      <c r="M212" s="15">
        <f t="shared" si="8"/>
        <v>0.8567001115</v>
      </c>
    </row>
    <row r="213">
      <c r="A213" s="10">
        <v>42370.21077546296</v>
      </c>
      <c r="B213" s="11">
        <v>0.7824</v>
      </c>
      <c r="C213" s="11">
        <v>35.25</v>
      </c>
      <c r="D213" s="11">
        <v>0.64</v>
      </c>
      <c r="E213" s="12">
        <f t="shared" si="1"/>
        <v>5</v>
      </c>
      <c r="F213" s="13">
        <f t="shared" si="2"/>
        <v>0.0008</v>
      </c>
      <c r="G213" s="13" t="str">
        <f t="shared" si="3"/>
        <v>Normal</v>
      </c>
      <c r="H213" s="13" t="str">
        <f t="shared" si="4"/>
        <v>Evening</v>
      </c>
      <c r="I213" s="13">
        <f t="shared" si="5"/>
        <v>1</v>
      </c>
      <c r="J213" s="14" t="str">
        <f t="shared" si="6"/>
        <v>AC</v>
      </c>
      <c r="K213" s="15">
        <f t="shared" si="7"/>
        <v>21</v>
      </c>
      <c r="M213" s="15">
        <f t="shared" si="8"/>
        <v>0.8567001115</v>
      </c>
    </row>
    <row r="214">
      <c r="A214" s="10">
        <v>42370.21078703704</v>
      </c>
      <c r="B214" s="11">
        <v>0.78235</v>
      </c>
      <c r="C214" s="11">
        <v>35.25</v>
      </c>
      <c r="D214" s="11">
        <v>0.64</v>
      </c>
      <c r="E214" s="12">
        <f t="shared" si="1"/>
        <v>5</v>
      </c>
      <c r="F214" s="13">
        <f t="shared" si="2"/>
        <v>0.0008</v>
      </c>
      <c r="G214" s="13" t="str">
        <f t="shared" si="3"/>
        <v>Normal</v>
      </c>
      <c r="H214" s="13" t="str">
        <f t="shared" si="4"/>
        <v>Evening</v>
      </c>
      <c r="I214" s="13">
        <f t="shared" si="5"/>
        <v>2</v>
      </c>
      <c r="J214" s="14" t="str">
        <f t="shared" si="6"/>
        <v>Heater</v>
      </c>
      <c r="K214" s="15">
        <f t="shared" si="7"/>
        <v>22</v>
      </c>
      <c r="M214" s="15">
        <f t="shared" si="8"/>
        <v>0.8567001115</v>
      </c>
    </row>
    <row r="215">
      <c r="A215" s="10">
        <v>42370.21079861111</v>
      </c>
      <c r="B215" s="11">
        <v>0.7877</v>
      </c>
      <c r="C215" s="11">
        <v>35.25</v>
      </c>
      <c r="D215" s="11">
        <v>0.64</v>
      </c>
      <c r="E215" s="12">
        <f t="shared" si="1"/>
        <v>5</v>
      </c>
      <c r="F215" s="13">
        <f t="shared" si="2"/>
        <v>0.0008</v>
      </c>
      <c r="G215" s="13" t="str">
        <f t="shared" si="3"/>
        <v>Normal</v>
      </c>
      <c r="H215" s="13" t="str">
        <f t="shared" si="4"/>
        <v>Evening</v>
      </c>
      <c r="I215" s="13">
        <f t="shared" si="5"/>
        <v>3</v>
      </c>
      <c r="J215" s="14" t="str">
        <f t="shared" si="6"/>
        <v>Fridge</v>
      </c>
      <c r="K215" s="15">
        <f t="shared" si="7"/>
        <v>23</v>
      </c>
      <c r="M215" s="15">
        <f t="shared" si="8"/>
        <v>0.8567001115</v>
      </c>
    </row>
    <row r="216">
      <c r="A216" s="10">
        <v>42370.210810185185</v>
      </c>
      <c r="B216" s="11">
        <v>0.778933333</v>
      </c>
      <c r="C216" s="11">
        <v>35.25</v>
      </c>
      <c r="D216" s="11">
        <v>0.64</v>
      </c>
      <c r="E216" s="12">
        <f t="shared" si="1"/>
        <v>5</v>
      </c>
      <c r="F216" s="13">
        <f t="shared" si="2"/>
        <v>0.0008</v>
      </c>
      <c r="G216" s="13" t="str">
        <f t="shared" si="3"/>
        <v>Normal</v>
      </c>
      <c r="H216" s="13" t="str">
        <f t="shared" si="4"/>
        <v>Night</v>
      </c>
      <c r="I216" s="13">
        <f t="shared" si="5"/>
        <v>1</v>
      </c>
      <c r="J216" s="14" t="str">
        <f t="shared" si="6"/>
        <v>AC</v>
      </c>
      <c r="K216" s="15">
        <f t="shared" si="7"/>
        <v>0</v>
      </c>
      <c r="M216" s="15">
        <f t="shared" si="8"/>
        <v>0.8567001115</v>
      </c>
    </row>
    <row r="217">
      <c r="A217" s="10">
        <v>42370.21082175926</v>
      </c>
      <c r="B217" s="11">
        <v>0.78155</v>
      </c>
      <c r="C217" s="11">
        <v>35.25</v>
      </c>
      <c r="D217" s="11">
        <v>0.64</v>
      </c>
      <c r="E217" s="12">
        <f t="shared" si="1"/>
        <v>5</v>
      </c>
      <c r="F217" s="13">
        <f t="shared" si="2"/>
        <v>0.0008</v>
      </c>
      <c r="G217" s="13" t="str">
        <f t="shared" si="3"/>
        <v>Normal</v>
      </c>
      <c r="H217" s="13" t="str">
        <f t="shared" si="4"/>
        <v>Night</v>
      </c>
      <c r="I217" s="13">
        <f t="shared" si="5"/>
        <v>2</v>
      </c>
      <c r="J217" s="14" t="str">
        <f t="shared" si="6"/>
        <v>Heater</v>
      </c>
      <c r="K217" s="15">
        <f t="shared" si="7"/>
        <v>1</v>
      </c>
      <c r="M217" s="15">
        <f t="shared" si="8"/>
        <v>0.8567001115</v>
      </c>
    </row>
    <row r="218">
      <c r="A218" s="10">
        <v>42370.21083333333</v>
      </c>
      <c r="B218" s="11">
        <v>0.846183333</v>
      </c>
      <c r="C218" s="11">
        <v>35.25</v>
      </c>
      <c r="D218" s="11">
        <v>0.64</v>
      </c>
      <c r="E218" s="12">
        <f t="shared" si="1"/>
        <v>5</v>
      </c>
      <c r="F218" s="13">
        <f t="shared" si="2"/>
        <v>0.0008</v>
      </c>
      <c r="G218" s="13" t="str">
        <f t="shared" si="3"/>
        <v>Normal</v>
      </c>
      <c r="H218" s="13" t="str">
        <f t="shared" si="4"/>
        <v>Night</v>
      </c>
      <c r="I218" s="13">
        <f t="shared" si="5"/>
        <v>3</v>
      </c>
      <c r="J218" s="14" t="str">
        <f t="shared" si="6"/>
        <v>Fridge</v>
      </c>
      <c r="K218" s="15">
        <f t="shared" si="7"/>
        <v>2</v>
      </c>
      <c r="M218" s="15">
        <f t="shared" si="8"/>
        <v>0.8567001115</v>
      </c>
    </row>
    <row r="219">
      <c r="A219" s="10">
        <v>42370.21084490741</v>
      </c>
      <c r="B219" s="11">
        <v>0.952133333</v>
      </c>
      <c r="C219" s="11">
        <v>35.25</v>
      </c>
      <c r="D219" s="11">
        <v>0.64</v>
      </c>
      <c r="E219" s="12">
        <f t="shared" si="1"/>
        <v>5</v>
      </c>
      <c r="F219" s="13">
        <f t="shared" si="2"/>
        <v>0.001</v>
      </c>
      <c r="G219" s="13" t="str">
        <f t="shared" si="3"/>
        <v>High</v>
      </c>
      <c r="H219" s="13" t="str">
        <f t="shared" si="4"/>
        <v>Night</v>
      </c>
      <c r="I219" s="13">
        <f t="shared" si="5"/>
        <v>1</v>
      </c>
      <c r="J219" s="14" t="str">
        <f t="shared" si="6"/>
        <v>AC</v>
      </c>
      <c r="K219" s="15">
        <f t="shared" si="7"/>
        <v>3</v>
      </c>
      <c r="M219" s="15">
        <f t="shared" si="8"/>
        <v>0.8567001115</v>
      </c>
    </row>
    <row r="220">
      <c r="A220" s="10">
        <v>42370.210856481484</v>
      </c>
      <c r="B220" s="11">
        <v>1.001183333</v>
      </c>
      <c r="C220" s="11">
        <v>35.25</v>
      </c>
      <c r="D220" s="11">
        <v>0.64</v>
      </c>
      <c r="E220" s="12">
        <f t="shared" si="1"/>
        <v>5</v>
      </c>
      <c r="F220" s="13">
        <f t="shared" si="2"/>
        <v>0.001</v>
      </c>
      <c r="G220" s="13" t="str">
        <f t="shared" si="3"/>
        <v>High</v>
      </c>
      <c r="H220" s="13" t="str">
        <f t="shared" si="4"/>
        <v>Night</v>
      </c>
      <c r="I220" s="13">
        <f t="shared" si="5"/>
        <v>2</v>
      </c>
      <c r="J220" s="14" t="str">
        <f t="shared" si="6"/>
        <v>Heater</v>
      </c>
      <c r="K220" s="15">
        <f t="shared" si="7"/>
        <v>4</v>
      </c>
      <c r="M220" s="15">
        <f t="shared" si="8"/>
        <v>0.8567001115</v>
      </c>
    </row>
    <row r="221">
      <c r="A221" s="10">
        <v>42370.210868055554</v>
      </c>
      <c r="B221" s="11">
        <v>1.106666667</v>
      </c>
      <c r="C221" s="11">
        <v>35.25</v>
      </c>
      <c r="D221" s="11">
        <v>0.64</v>
      </c>
      <c r="E221" s="12">
        <f t="shared" si="1"/>
        <v>5</v>
      </c>
      <c r="F221" s="13">
        <f t="shared" si="2"/>
        <v>0.0011</v>
      </c>
      <c r="G221" s="13" t="str">
        <f t="shared" si="3"/>
        <v>High</v>
      </c>
      <c r="H221" s="13" t="str">
        <f t="shared" si="4"/>
        <v>Night</v>
      </c>
      <c r="I221" s="13">
        <f t="shared" si="5"/>
        <v>3</v>
      </c>
      <c r="J221" s="14" t="str">
        <f t="shared" si="6"/>
        <v>Fridge</v>
      </c>
      <c r="K221" s="15">
        <f t="shared" si="7"/>
        <v>5</v>
      </c>
      <c r="M221" s="15">
        <f t="shared" si="8"/>
        <v>0.8567001115</v>
      </c>
    </row>
    <row r="222">
      <c r="A222" s="10">
        <v>42370.21087962963</v>
      </c>
      <c r="B222" s="11">
        <v>1.596933333</v>
      </c>
      <c r="C222" s="11">
        <v>35.25</v>
      </c>
      <c r="D222" s="11">
        <v>0.64</v>
      </c>
      <c r="E222" s="12">
        <f t="shared" si="1"/>
        <v>5</v>
      </c>
      <c r="F222" s="13">
        <f t="shared" si="2"/>
        <v>0.0016</v>
      </c>
      <c r="G222" s="13" t="str">
        <f t="shared" si="3"/>
        <v>High</v>
      </c>
      <c r="H222" s="13" t="str">
        <f t="shared" si="4"/>
        <v>Morning</v>
      </c>
      <c r="I222" s="13">
        <f t="shared" si="5"/>
        <v>1</v>
      </c>
      <c r="J222" s="14" t="str">
        <f t="shared" si="6"/>
        <v>AC</v>
      </c>
      <c r="K222" s="15">
        <f t="shared" si="7"/>
        <v>6</v>
      </c>
      <c r="M222" s="15">
        <f t="shared" si="8"/>
        <v>0.8567001115</v>
      </c>
    </row>
    <row r="223">
      <c r="A223" s="10">
        <v>42370.21089120371</v>
      </c>
      <c r="B223" s="11">
        <v>1.691383333</v>
      </c>
      <c r="C223" s="11">
        <v>35.25</v>
      </c>
      <c r="D223" s="11">
        <v>0.64</v>
      </c>
      <c r="E223" s="12">
        <f t="shared" si="1"/>
        <v>5</v>
      </c>
      <c r="F223" s="13">
        <f t="shared" si="2"/>
        <v>0.0017</v>
      </c>
      <c r="G223" s="13" t="str">
        <f t="shared" si="3"/>
        <v>High</v>
      </c>
      <c r="H223" s="13" t="str">
        <f t="shared" si="4"/>
        <v>Morning</v>
      </c>
      <c r="I223" s="13">
        <f t="shared" si="5"/>
        <v>2</v>
      </c>
      <c r="J223" s="14" t="str">
        <f t="shared" si="6"/>
        <v>Heater</v>
      </c>
      <c r="K223" s="15">
        <f t="shared" si="7"/>
        <v>7</v>
      </c>
      <c r="M223" s="15">
        <f t="shared" si="8"/>
        <v>0.8567001115</v>
      </c>
    </row>
    <row r="224">
      <c r="A224" s="10">
        <v>42370.21090277778</v>
      </c>
      <c r="B224" s="11">
        <v>1.680916667</v>
      </c>
      <c r="C224" s="11">
        <v>35.25</v>
      </c>
      <c r="D224" s="11">
        <v>0.64</v>
      </c>
      <c r="E224" s="12">
        <f t="shared" si="1"/>
        <v>5</v>
      </c>
      <c r="F224" s="13">
        <f t="shared" si="2"/>
        <v>0.0017</v>
      </c>
      <c r="G224" s="13" t="str">
        <f t="shared" si="3"/>
        <v>High</v>
      </c>
      <c r="H224" s="13" t="str">
        <f t="shared" si="4"/>
        <v>Morning</v>
      </c>
      <c r="I224" s="13">
        <f t="shared" si="5"/>
        <v>3</v>
      </c>
      <c r="J224" s="14" t="str">
        <f t="shared" si="6"/>
        <v>Fridge</v>
      </c>
      <c r="K224" s="15">
        <f t="shared" si="7"/>
        <v>8</v>
      </c>
      <c r="M224" s="15">
        <f t="shared" si="8"/>
        <v>0.8567001115</v>
      </c>
    </row>
    <row r="225">
      <c r="A225" s="10">
        <v>42370.21091435185</v>
      </c>
      <c r="B225" s="11">
        <v>1.644783333</v>
      </c>
      <c r="C225" s="11">
        <v>35.25</v>
      </c>
      <c r="D225" s="11">
        <v>0.64</v>
      </c>
      <c r="E225" s="12">
        <f t="shared" si="1"/>
        <v>5</v>
      </c>
      <c r="F225" s="13">
        <f t="shared" si="2"/>
        <v>0.0016</v>
      </c>
      <c r="G225" s="13" t="str">
        <f t="shared" si="3"/>
        <v>High</v>
      </c>
      <c r="H225" s="13" t="str">
        <f t="shared" si="4"/>
        <v>Morning</v>
      </c>
      <c r="I225" s="13">
        <f t="shared" si="5"/>
        <v>1</v>
      </c>
      <c r="J225" s="14" t="str">
        <f t="shared" si="6"/>
        <v>AC</v>
      </c>
      <c r="K225" s="15">
        <f t="shared" si="7"/>
        <v>9</v>
      </c>
      <c r="M225" s="15">
        <f t="shared" si="8"/>
        <v>0.8567001115</v>
      </c>
    </row>
    <row r="226">
      <c r="A226" s="10">
        <v>42370.21092592593</v>
      </c>
      <c r="B226" s="11">
        <v>1.54415</v>
      </c>
      <c r="C226" s="11">
        <v>35.25</v>
      </c>
      <c r="D226" s="11">
        <v>0.64</v>
      </c>
      <c r="E226" s="12">
        <f t="shared" si="1"/>
        <v>5</v>
      </c>
      <c r="F226" s="13">
        <f t="shared" si="2"/>
        <v>0.0015</v>
      </c>
      <c r="G226" s="13" t="str">
        <f t="shared" si="3"/>
        <v>High</v>
      </c>
      <c r="H226" s="13" t="str">
        <f t="shared" si="4"/>
        <v>Morning</v>
      </c>
      <c r="I226" s="13">
        <f t="shared" si="5"/>
        <v>2</v>
      </c>
      <c r="J226" s="14" t="str">
        <f t="shared" si="6"/>
        <v>Heater</v>
      </c>
      <c r="K226" s="15">
        <f t="shared" si="7"/>
        <v>10</v>
      </c>
      <c r="M226" s="15">
        <f t="shared" si="8"/>
        <v>0.8567001115</v>
      </c>
    </row>
    <row r="227">
      <c r="A227" s="10">
        <v>42370.2109375</v>
      </c>
      <c r="B227" s="11">
        <v>1.239466667</v>
      </c>
      <c r="C227" s="11">
        <v>35.25</v>
      </c>
      <c r="D227" s="11">
        <v>0.64</v>
      </c>
      <c r="E227" s="12">
        <f t="shared" si="1"/>
        <v>5</v>
      </c>
      <c r="F227" s="13">
        <f t="shared" si="2"/>
        <v>0.0012</v>
      </c>
      <c r="G227" s="13" t="str">
        <f t="shared" si="3"/>
        <v>High</v>
      </c>
      <c r="H227" s="13" t="str">
        <f t="shared" si="4"/>
        <v>Morning</v>
      </c>
      <c r="I227" s="13">
        <f t="shared" si="5"/>
        <v>3</v>
      </c>
      <c r="J227" s="14" t="str">
        <f t="shared" si="6"/>
        <v>Fridge</v>
      </c>
      <c r="K227" s="15">
        <f t="shared" si="7"/>
        <v>11</v>
      </c>
      <c r="M227" s="15">
        <f t="shared" si="8"/>
        <v>0.8567001115</v>
      </c>
    </row>
    <row r="228">
      <c r="A228" s="10">
        <v>42370.21094907407</v>
      </c>
      <c r="B228" s="11">
        <v>0.913333333</v>
      </c>
      <c r="C228" s="11">
        <v>35.25</v>
      </c>
      <c r="D228" s="11">
        <v>0.64</v>
      </c>
      <c r="E228" s="12">
        <f t="shared" si="1"/>
        <v>5</v>
      </c>
      <c r="F228" s="13">
        <f t="shared" si="2"/>
        <v>0.0009</v>
      </c>
      <c r="G228" s="13" t="str">
        <f t="shared" si="3"/>
        <v>High</v>
      </c>
      <c r="H228" s="13" t="str">
        <f t="shared" si="4"/>
        <v>Afternoon</v>
      </c>
      <c r="I228" s="13">
        <f t="shared" si="5"/>
        <v>1</v>
      </c>
      <c r="J228" s="14" t="str">
        <f t="shared" si="6"/>
        <v>AC</v>
      </c>
      <c r="K228" s="15">
        <f t="shared" si="7"/>
        <v>12</v>
      </c>
      <c r="M228" s="15">
        <f t="shared" si="8"/>
        <v>0.8567001115</v>
      </c>
    </row>
    <row r="229">
      <c r="A229" s="10">
        <v>42370.21096064815</v>
      </c>
      <c r="B229" s="11">
        <v>0.910966667</v>
      </c>
      <c r="C229" s="11">
        <v>35.25</v>
      </c>
      <c r="D229" s="11">
        <v>0.64</v>
      </c>
      <c r="E229" s="12">
        <f t="shared" si="1"/>
        <v>5</v>
      </c>
      <c r="F229" s="13">
        <f t="shared" si="2"/>
        <v>0.0009</v>
      </c>
      <c r="G229" s="13" t="str">
        <f t="shared" si="3"/>
        <v>High</v>
      </c>
      <c r="H229" s="13" t="str">
        <f t="shared" si="4"/>
        <v>Afternoon</v>
      </c>
      <c r="I229" s="13">
        <f t="shared" si="5"/>
        <v>2</v>
      </c>
      <c r="J229" s="14" t="str">
        <f t="shared" si="6"/>
        <v>Heater</v>
      </c>
      <c r="K229" s="15">
        <f t="shared" si="7"/>
        <v>13</v>
      </c>
      <c r="M229" s="15">
        <f t="shared" si="8"/>
        <v>0.8567001115</v>
      </c>
    </row>
    <row r="230">
      <c r="A230" s="10">
        <v>42370.21097222222</v>
      </c>
      <c r="B230" s="11">
        <v>0.908183333</v>
      </c>
      <c r="C230" s="11">
        <v>35.25</v>
      </c>
      <c r="D230" s="11">
        <v>0.64</v>
      </c>
      <c r="E230" s="12">
        <f t="shared" si="1"/>
        <v>5</v>
      </c>
      <c r="F230" s="13">
        <f t="shared" si="2"/>
        <v>0.0009</v>
      </c>
      <c r="G230" s="13" t="str">
        <f t="shared" si="3"/>
        <v>High</v>
      </c>
      <c r="H230" s="13" t="str">
        <f t="shared" si="4"/>
        <v>Afternoon</v>
      </c>
      <c r="I230" s="13">
        <f t="shared" si="5"/>
        <v>3</v>
      </c>
      <c r="J230" s="14" t="str">
        <f t="shared" si="6"/>
        <v>Fridge</v>
      </c>
      <c r="K230" s="15">
        <f t="shared" si="7"/>
        <v>14</v>
      </c>
      <c r="M230" s="15">
        <f t="shared" si="8"/>
        <v>0.8567001115</v>
      </c>
    </row>
    <row r="231">
      <c r="A231" s="10">
        <v>42370.21098379629</v>
      </c>
      <c r="B231" s="11">
        <v>0.9076</v>
      </c>
      <c r="C231" s="11">
        <v>35.25</v>
      </c>
      <c r="D231" s="11">
        <v>0.64</v>
      </c>
      <c r="E231" s="12">
        <f t="shared" si="1"/>
        <v>5</v>
      </c>
      <c r="F231" s="13">
        <f t="shared" si="2"/>
        <v>0.0009</v>
      </c>
      <c r="G231" s="13" t="str">
        <f t="shared" si="3"/>
        <v>High</v>
      </c>
      <c r="H231" s="13" t="str">
        <f t="shared" si="4"/>
        <v>Afternoon</v>
      </c>
      <c r="I231" s="13">
        <f t="shared" si="5"/>
        <v>1</v>
      </c>
      <c r="J231" s="14" t="str">
        <f t="shared" si="6"/>
        <v>AC</v>
      </c>
      <c r="K231" s="15">
        <f t="shared" si="7"/>
        <v>15</v>
      </c>
      <c r="M231" s="15">
        <f t="shared" si="8"/>
        <v>0.8567001115</v>
      </c>
    </row>
    <row r="232">
      <c r="A232" s="10">
        <v>42370.21099537037</v>
      </c>
      <c r="B232" s="11">
        <v>0.907366667</v>
      </c>
      <c r="C232" s="11">
        <v>35.25</v>
      </c>
      <c r="D232" s="11">
        <v>0.64</v>
      </c>
      <c r="E232" s="12">
        <f t="shared" si="1"/>
        <v>5</v>
      </c>
      <c r="F232" s="13">
        <f t="shared" si="2"/>
        <v>0.0009</v>
      </c>
      <c r="G232" s="13" t="str">
        <f t="shared" si="3"/>
        <v>High</v>
      </c>
      <c r="H232" s="13" t="str">
        <f t="shared" si="4"/>
        <v>Afternoon</v>
      </c>
      <c r="I232" s="13">
        <f t="shared" si="5"/>
        <v>2</v>
      </c>
      <c r="J232" s="14" t="str">
        <f t="shared" si="6"/>
        <v>Heater</v>
      </c>
      <c r="K232" s="15">
        <f t="shared" si="7"/>
        <v>16</v>
      </c>
      <c r="M232" s="15">
        <f t="shared" si="8"/>
        <v>0.8567001115</v>
      </c>
    </row>
    <row r="233">
      <c r="A233" s="10">
        <v>42370.211006944446</v>
      </c>
      <c r="B233" s="11">
        <v>0.907916667</v>
      </c>
      <c r="C233" s="11">
        <v>35.25</v>
      </c>
      <c r="D233" s="11">
        <v>0.64</v>
      </c>
      <c r="E233" s="12">
        <f t="shared" si="1"/>
        <v>5</v>
      </c>
      <c r="F233" s="13">
        <f t="shared" si="2"/>
        <v>0.0009</v>
      </c>
      <c r="G233" s="13" t="str">
        <f t="shared" si="3"/>
        <v>High</v>
      </c>
      <c r="H233" s="13" t="str">
        <f t="shared" si="4"/>
        <v>Afternoon</v>
      </c>
      <c r="I233" s="13">
        <f t="shared" si="5"/>
        <v>3</v>
      </c>
      <c r="J233" s="14" t="str">
        <f t="shared" si="6"/>
        <v>Fridge</v>
      </c>
      <c r="K233" s="15">
        <f t="shared" si="7"/>
        <v>17</v>
      </c>
      <c r="M233" s="15">
        <f t="shared" si="8"/>
        <v>0.8567001115</v>
      </c>
    </row>
    <row r="234">
      <c r="A234" s="10">
        <v>42370.211018518516</v>
      </c>
      <c r="B234" s="11">
        <v>0.905</v>
      </c>
      <c r="C234" s="11">
        <v>35.49</v>
      </c>
      <c r="D234" s="11">
        <v>0.64</v>
      </c>
      <c r="E234" s="12">
        <f t="shared" si="1"/>
        <v>5</v>
      </c>
      <c r="F234" s="13">
        <f t="shared" si="2"/>
        <v>0.0009</v>
      </c>
      <c r="G234" s="13" t="str">
        <f t="shared" si="3"/>
        <v>High</v>
      </c>
      <c r="H234" s="13" t="str">
        <f t="shared" si="4"/>
        <v>Evening</v>
      </c>
      <c r="I234" s="13">
        <f t="shared" si="5"/>
        <v>1</v>
      </c>
      <c r="J234" s="14" t="str">
        <f t="shared" si="6"/>
        <v>AC</v>
      </c>
      <c r="K234" s="15">
        <f t="shared" si="7"/>
        <v>18</v>
      </c>
      <c r="M234" s="15">
        <f t="shared" si="8"/>
        <v>0.8567001115</v>
      </c>
    </row>
    <row r="235">
      <c r="A235" s="10">
        <v>42370.21103009259</v>
      </c>
      <c r="B235" s="11">
        <v>0.90525</v>
      </c>
      <c r="C235" s="11">
        <v>35.49</v>
      </c>
      <c r="D235" s="11">
        <v>0.64</v>
      </c>
      <c r="E235" s="12">
        <f t="shared" si="1"/>
        <v>5</v>
      </c>
      <c r="F235" s="13">
        <f t="shared" si="2"/>
        <v>0.0009</v>
      </c>
      <c r="G235" s="13" t="str">
        <f t="shared" si="3"/>
        <v>High</v>
      </c>
      <c r="H235" s="13" t="str">
        <f t="shared" si="4"/>
        <v>Evening</v>
      </c>
      <c r="I235" s="13">
        <f t="shared" si="5"/>
        <v>2</v>
      </c>
      <c r="J235" s="14" t="str">
        <f t="shared" si="6"/>
        <v>Heater</v>
      </c>
      <c r="K235" s="15">
        <f t="shared" si="7"/>
        <v>19</v>
      </c>
      <c r="M235" s="15">
        <f t="shared" si="8"/>
        <v>0.8567001115</v>
      </c>
    </row>
    <row r="236">
      <c r="A236" s="10">
        <v>42370.21104166667</v>
      </c>
      <c r="B236" s="11">
        <v>0.90375</v>
      </c>
      <c r="C236" s="11">
        <v>35.49</v>
      </c>
      <c r="D236" s="11">
        <v>0.64</v>
      </c>
      <c r="E236" s="12">
        <f t="shared" si="1"/>
        <v>5</v>
      </c>
      <c r="F236" s="13">
        <f t="shared" si="2"/>
        <v>0.0009</v>
      </c>
      <c r="G236" s="13" t="str">
        <f t="shared" si="3"/>
        <v>High</v>
      </c>
      <c r="H236" s="13" t="str">
        <f t="shared" si="4"/>
        <v>Evening</v>
      </c>
      <c r="I236" s="13">
        <f t="shared" si="5"/>
        <v>3</v>
      </c>
      <c r="J236" s="14" t="str">
        <f t="shared" si="6"/>
        <v>Fridge</v>
      </c>
      <c r="K236" s="15">
        <f t="shared" si="7"/>
        <v>20</v>
      </c>
      <c r="M236" s="15">
        <f t="shared" si="8"/>
        <v>0.8567001115</v>
      </c>
    </row>
    <row r="237">
      <c r="A237" s="10">
        <v>42370.21105324074</v>
      </c>
      <c r="B237" s="11">
        <v>0.9048</v>
      </c>
      <c r="C237" s="11">
        <v>35.49</v>
      </c>
      <c r="D237" s="11">
        <v>0.64</v>
      </c>
      <c r="E237" s="12">
        <f t="shared" si="1"/>
        <v>5</v>
      </c>
      <c r="F237" s="13">
        <f t="shared" si="2"/>
        <v>0.0009</v>
      </c>
      <c r="G237" s="13" t="str">
        <f t="shared" si="3"/>
        <v>High</v>
      </c>
      <c r="H237" s="13" t="str">
        <f t="shared" si="4"/>
        <v>Evening</v>
      </c>
      <c r="I237" s="13">
        <f t="shared" si="5"/>
        <v>1</v>
      </c>
      <c r="J237" s="14" t="str">
        <f t="shared" si="6"/>
        <v>AC</v>
      </c>
      <c r="K237" s="15">
        <f t="shared" si="7"/>
        <v>21</v>
      </c>
      <c r="M237" s="15">
        <f t="shared" si="8"/>
        <v>0.8567001115</v>
      </c>
    </row>
    <row r="238">
      <c r="A238" s="10">
        <v>42370.211064814815</v>
      </c>
      <c r="B238" s="11">
        <v>0.905016667</v>
      </c>
      <c r="C238" s="11">
        <v>35.49</v>
      </c>
      <c r="D238" s="11">
        <v>0.64</v>
      </c>
      <c r="E238" s="12">
        <f t="shared" si="1"/>
        <v>5</v>
      </c>
      <c r="F238" s="13">
        <f t="shared" si="2"/>
        <v>0.0009</v>
      </c>
      <c r="G238" s="13" t="str">
        <f t="shared" si="3"/>
        <v>High</v>
      </c>
      <c r="H238" s="13" t="str">
        <f t="shared" si="4"/>
        <v>Evening</v>
      </c>
      <c r="I238" s="13">
        <f t="shared" si="5"/>
        <v>2</v>
      </c>
      <c r="J238" s="14" t="str">
        <f t="shared" si="6"/>
        <v>Heater</v>
      </c>
      <c r="K238" s="15">
        <f t="shared" si="7"/>
        <v>22</v>
      </c>
      <c r="M238" s="15">
        <f t="shared" si="8"/>
        <v>0.8567001115</v>
      </c>
    </row>
    <row r="239">
      <c r="A239" s="10">
        <v>42370.21107638889</v>
      </c>
      <c r="B239" s="11">
        <v>0.9038</v>
      </c>
      <c r="C239" s="11">
        <v>35.49</v>
      </c>
      <c r="D239" s="11">
        <v>0.64</v>
      </c>
      <c r="E239" s="12">
        <f t="shared" si="1"/>
        <v>5</v>
      </c>
      <c r="F239" s="13">
        <f t="shared" si="2"/>
        <v>0.0009</v>
      </c>
      <c r="G239" s="13" t="str">
        <f t="shared" si="3"/>
        <v>High</v>
      </c>
      <c r="H239" s="13" t="str">
        <f t="shared" si="4"/>
        <v>Evening</v>
      </c>
      <c r="I239" s="13">
        <f t="shared" si="5"/>
        <v>3</v>
      </c>
      <c r="J239" s="14" t="str">
        <f t="shared" si="6"/>
        <v>Fridge</v>
      </c>
      <c r="K239" s="15">
        <f t="shared" si="7"/>
        <v>23</v>
      </c>
      <c r="M239" s="15">
        <f t="shared" si="8"/>
        <v>0.8567001115</v>
      </c>
    </row>
    <row r="240">
      <c r="A240" s="10">
        <v>42370.21108796296</v>
      </c>
      <c r="B240" s="11">
        <v>0.965116667</v>
      </c>
      <c r="C240" s="11">
        <v>35.49</v>
      </c>
      <c r="D240" s="11">
        <v>0.64</v>
      </c>
      <c r="E240" s="12">
        <f t="shared" si="1"/>
        <v>5</v>
      </c>
      <c r="F240" s="13">
        <f t="shared" si="2"/>
        <v>0.001</v>
      </c>
      <c r="G240" s="13" t="str">
        <f t="shared" si="3"/>
        <v>High</v>
      </c>
      <c r="H240" s="13" t="str">
        <f t="shared" si="4"/>
        <v>Night</v>
      </c>
      <c r="I240" s="13">
        <f t="shared" si="5"/>
        <v>1</v>
      </c>
      <c r="J240" s="14" t="str">
        <f t="shared" si="6"/>
        <v>AC</v>
      </c>
      <c r="K240" s="15">
        <f t="shared" si="7"/>
        <v>0</v>
      </c>
      <c r="M240" s="15">
        <f t="shared" si="8"/>
        <v>0.8567001115</v>
      </c>
    </row>
    <row r="241">
      <c r="A241" s="10">
        <v>42370.21109953704</v>
      </c>
      <c r="B241" s="11">
        <v>0.956766667</v>
      </c>
      <c r="C241" s="11">
        <v>35.49</v>
      </c>
      <c r="D241" s="11">
        <v>0.64</v>
      </c>
      <c r="E241" s="12">
        <f t="shared" si="1"/>
        <v>5</v>
      </c>
      <c r="F241" s="13">
        <f t="shared" si="2"/>
        <v>0.001</v>
      </c>
      <c r="G241" s="13" t="str">
        <f t="shared" si="3"/>
        <v>High</v>
      </c>
      <c r="H241" s="13" t="str">
        <f t="shared" si="4"/>
        <v>Night</v>
      </c>
      <c r="I241" s="13">
        <f t="shared" si="5"/>
        <v>2</v>
      </c>
      <c r="J241" s="14" t="str">
        <f t="shared" si="6"/>
        <v>Heater</v>
      </c>
      <c r="K241" s="15">
        <f t="shared" si="7"/>
        <v>1</v>
      </c>
      <c r="M241" s="15">
        <f t="shared" si="8"/>
        <v>0.8567001115</v>
      </c>
    </row>
    <row r="242">
      <c r="A242" s="10">
        <v>42370.211111111115</v>
      </c>
      <c r="B242" s="11">
        <v>0.940616667</v>
      </c>
      <c r="C242" s="11">
        <v>35.49</v>
      </c>
      <c r="D242" s="11">
        <v>0.64</v>
      </c>
      <c r="E242" s="12">
        <f t="shared" si="1"/>
        <v>5</v>
      </c>
      <c r="F242" s="13">
        <f t="shared" si="2"/>
        <v>0.0009</v>
      </c>
      <c r="G242" s="13" t="str">
        <f t="shared" si="3"/>
        <v>High</v>
      </c>
      <c r="H242" s="13" t="str">
        <f t="shared" si="4"/>
        <v>Night</v>
      </c>
      <c r="I242" s="13">
        <f t="shared" si="5"/>
        <v>3</v>
      </c>
      <c r="J242" s="14" t="str">
        <f t="shared" si="6"/>
        <v>Fridge</v>
      </c>
      <c r="K242" s="15">
        <f t="shared" si="7"/>
        <v>2</v>
      </c>
      <c r="M242" s="15">
        <f t="shared" si="8"/>
        <v>0.8567001115</v>
      </c>
    </row>
    <row r="243">
      <c r="A243" s="10">
        <v>42370.211122685185</v>
      </c>
      <c r="B243" s="11">
        <v>0.588783333</v>
      </c>
      <c r="C243" s="11">
        <v>35.49</v>
      </c>
      <c r="D243" s="11">
        <v>0.64</v>
      </c>
      <c r="E243" s="12">
        <f t="shared" si="1"/>
        <v>5</v>
      </c>
      <c r="F243" s="13">
        <f t="shared" si="2"/>
        <v>0.0006</v>
      </c>
      <c r="G243" s="13" t="str">
        <f t="shared" si="3"/>
        <v>Normal</v>
      </c>
      <c r="H243" s="13" t="str">
        <f t="shared" si="4"/>
        <v>Night</v>
      </c>
      <c r="I243" s="13">
        <f t="shared" si="5"/>
        <v>1</v>
      </c>
      <c r="J243" s="14" t="str">
        <f t="shared" si="6"/>
        <v>AC</v>
      </c>
      <c r="K243" s="15">
        <f t="shared" si="7"/>
        <v>3</v>
      </c>
      <c r="M243" s="15">
        <f t="shared" si="8"/>
        <v>0.8567001115</v>
      </c>
    </row>
    <row r="244">
      <c r="A244" s="10">
        <v>42370.211134259254</v>
      </c>
      <c r="B244" s="11">
        <v>0.6731</v>
      </c>
      <c r="C244" s="11">
        <v>35.49</v>
      </c>
      <c r="D244" s="11">
        <v>0.64</v>
      </c>
      <c r="E244" s="12">
        <f t="shared" si="1"/>
        <v>5</v>
      </c>
      <c r="F244" s="13">
        <f t="shared" si="2"/>
        <v>0.0007</v>
      </c>
      <c r="G244" s="13" t="str">
        <f t="shared" si="3"/>
        <v>Normal</v>
      </c>
      <c r="H244" s="13" t="str">
        <f t="shared" si="4"/>
        <v>Night</v>
      </c>
      <c r="I244" s="13">
        <f t="shared" si="5"/>
        <v>2</v>
      </c>
      <c r="J244" s="14" t="str">
        <f t="shared" si="6"/>
        <v>Heater</v>
      </c>
      <c r="K244" s="15">
        <f t="shared" si="7"/>
        <v>4</v>
      </c>
      <c r="M244" s="15">
        <f t="shared" si="8"/>
        <v>0.8567001115</v>
      </c>
    </row>
    <row r="245">
      <c r="A245" s="10">
        <v>42370.21114583334</v>
      </c>
      <c r="B245" s="11">
        <v>0.80995</v>
      </c>
      <c r="C245" s="11">
        <v>35.49</v>
      </c>
      <c r="D245" s="11">
        <v>0.64</v>
      </c>
      <c r="E245" s="12">
        <f t="shared" si="1"/>
        <v>5</v>
      </c>
      <c r="F245" s="13">
        <f t="shared" si="2"/>
        <v>0.0008</v>
      </c>
      <c r="G245" s="13" t="str">
        <f t="shared" si="3"/>
        <v>Normal</v>
      </c>
      <c r="H245" s="13" t="str">
        <f t="shared" si="4"/>
        <v>Night</v>
      </c>
      <c r="I245" s="13">
        <f t="shared" si="5"/>
        <v>3</v>
      </c>
      <c r="J245" s="14" t="str">
        <f t="shared" si="6"/>
        <v>Fridge</v>
      </c>
      <c r="K245" s="15">
        <f t="shared" si="7"/>
        <v>5</v>
      </c>
      <c r="M245" s="15">
        <f t="shared" si="8"/>
        <v>0.8567001115</v>
      </c>
    </row>
    <row r="246">
      <c r="A246" s="10">
        <v>42370.21115740741</v>
      </c>
      <c r="B246" s="11">
        <v>1.28035</v>
      </c>
      <c r="C246" s="11">
        <v>35.49</v>
      </c>
      <c r="D246" s="11">
        <v>0.64</v>
      </c>
      <c r="E246" s="12">
        <f t="shared" si="1"/>
        <v>5</v>
      </c>
      <c r="F246" s="13">
        <f t="shared" si="2"/>
        <v>0.0013</v>
      </c>
      <c r="G246" s="13" t="str">
        <f t="shared" si="3"/>
        <v>High</v>
      </c>
      <c r="H246" s="13" t="str">
        <f t="shared" si="4"/>
        <v>Morning</v>
      </c>
      <c r="I246" s="13">
        <f t="shared" si="5"/>
        <v>1</v>
      </c>
      <c r="J246" s="14" t="str">
        <f t="shared" si="6"/>
        <v>AC</v>
      </c>
      <c r="K246" s="15">
        <f t="shared" si="7"/>
        <v>6</v>
      </c>
      <c r="M246" s="15">
        <f t="shared" si="8"/>
        <v>0.8567001115</v>
      </c>
    </row>
    <row r="247">
      <c r="A247" s="10">
        <v>42370.21116898148</v>
      </c>
      <c r="B247" s="11">
        <v>1.2787</v>
      </c>
      <c r="C247" s="11">
        <v>35.49</v>
      </c>
      <c r="D247" s="11">
        <v>0.64</v>
      </c>
      <c r="E247" s="12">
        <f t="shared" si="1"/>
        <v>5</v>
      </c>
      <c r="F247" s="13">
        <f t="shared" si="2"/>
        <v>0.0013</v>
      </c>
      <c r="G247" s="13" t="str">
        <f t="shared" si="3"/>
        <v>High</v>
      </c>
      <c r="H247" s="13" t="str">
        <f t="shared" si="4"/>
        <v>Morning</v>
      </c>
      <c r="I247" s="13">
        <f t="shared" si="5"/>
        <v>2</v>
      </c>
      <c r="J247" s="14" t="str">
        <f t="shared" si="6"/>
        <v>Heater</v>
      </c>
      <c r="K247" s="15">
        <f t="shared" si="7"/>
        <v>7</v>
      </c>
      <c r="M247" s="15">
        <f t="shared" si="8"/>
        <v>0.8567001115</v>
      </c>
    </row>
    <row r="248">
      <c r="A248" s="10">
        <v>42370.211180555554</v>
      </c>
      <c r="B248" s="11">
        <v>1.155933333</v>
      </c>
      <c r="C248" s="11">
        <v>35.49</v>
      </c>
      <c r="D248" s="11">
        <v>0.64</v>
      </c>
      <c r="E248" s="12">
        <f t="shared" si="1"/>
        <v>5</v>
      </c>
      <c r="F248" s="13">
        <f t="shared" si="2"/>
        <v>0.0012</v>
      </c>
      <c r="G248" s="13" t="str">
        <f t="shared" si="3"/>
        <v>High</v>
      </c>
      <c r="H248" s="13" t="str">
        <f t="shared" si="4"/>
        <v>Morning</v>
      </c>
      <c r="I248" s="13">
        <f t="shared" si="5"/>
        <v>3</v>
      </c>
      <c r="J248" s="14" t="str">
        <f t="shared" si="6"/>
        <v>Fridge</v>
      </c>
      <c r="K248" s="15">
        <f t="shared" si="7"/>
        <v>8</v>
      </c>
      <c r="M248" s="15">
        <f t="shared" si="8"/>
        <v>0.8567001115</v>
      </c>
    </row>
    <row r="249">
      <c r="A249" s="10">
        <v>42370.21119212963</v>
      </c>
      <c r="B249" s="11">
        <v>0.921866667</v>
      </c>
      <c r="C249" s="11">
        <v>35.49</v>
      </c>
      <c r="D249" s="11">
        <v>0.64</v>
      </c>
      <c r="E249" s="12">
        <f t="shared" si="1"/>
        <v>5</v>
      </c>
      <c r="F249" s="13">
        <f t="shared" si="2"/>
        <v>0.0009</v>
      </c>
      <c r="G249" s="13" t="str">
        <f t="shared" si="3"/>
        <v>High</v>
      </c>
      <c r="H249" s="13" t="str">
        <f t="shared" si="4"/>
        <v>Morning</v>
      </c>
      <c r="I249" s="13">
        <f t="shared" si="5"/>
        <v>1</v>
      </c>
      <c r="J249" s="14" t="str">
        <f t="shared" si="6"/>
        <v>AC</v>
      </c>
      <c r="K249" s="15">
        <f t="shared" si="7"/>
        <v>9</v>
      </c>
      <c r="M249" s="15">
        <f t="shared" si="8"/>
        <v>0.8567001115</v>
      </c>
    </row>
    <row r="250">
      <c r="A250" s="10">
        <v>42370.2112037037</v>
      </c>
      <c r="B250" s="11">
        <v>0.452683333</v>
      </c>
      <c r="C250" s="11">
        <v>35.49</v>
      </c>
      <c r="D250" s="11">
        <v>0.64</v>
      </c>
      <c r="E250" s="12">
        <f t="shared" si="1"/>
        <v>5</v>
      </c>
      <c r="F250" s="13">
        <f t="shared" si="2"/>
        <v>0.0005</v>
      </c>
      <c r="G250" s="13" t="str">
        <f t="shared" si="3"/>
        <v>Normal</v>
      </c>
      <c r="H250" s="13" t="str">
        <f t="shared" si="4"/>
        <v>Morning</v>
      </c>
      <c r="I250" s="13">
        <f t="shared" si="5"/>
        <v>2</v>
      </c>
      <c r="J250" s="14" t="str">
        <f t="shared" si="6"/>
        <v>Heater</v>
      </c>
      <c r="K250" s="15">
        <f t="shared" si="7"/>
        <v>10</v>
      </c>
      <c r="M250" s="15">
        <f t="shared" si="8"/>
        <v>0.8567001115</v>
      </c>
    </row>
    <row r="251">
      <c r="A251" s="10">
        <v>42370.21121527778</v>
      </c>
      <c r="B251" s="11">
        <v>0.4272</v>
      </c>
      <c r="C251" s="11">
        <v>35.49</v>
      </c>
      <c r="D251" s="11">
        <v>0.64</v>
      </c>
      <c r="E251" s="12">
        <f t="shared" si="1"/>
        <v>5</v>
      </c>
      <c r="F251" s="13">
        <f t="shared" si="2"/>
        <v>0.0004</v>
      </c>
      <c r="G251" s="13" t="str">
        <f t="shared" si="3"/>
        <v>Normal</v>
      </c>
      <c r="H251" s="13" t="str">
        <f t="shared" si="4"/>
        <v>Morning</v>
      </c>
      <c r="I251" s="13">
        <f t="shared" si="5"/>
        <v>3</v>
      </c>
      <c r="J251" s="14" t="str">
        <f t="shared" si="6"/>
        <v>Fridge</v>
      </c>
      <c r="K251" s="15">
        <f t="shared" si="7"/>
        <v>11</v>
      </c>
      <c r="M251" s="15">
        <f t="shared" si="8"/>
        <v>0.8567001115</v>
      </c>
    </row>
    <row r="252">
      <c r="A252" s="10">
        <v>42370.211226851854</v>
      </c>
      <c r="B252" s="11">
        <v>0.467016667</v>
      </c>
      <c r="C252" s="11">
        <v>35.49</v>
      </c>
      <c r="D252" s="11">
        <v>0.64</v>
      </c>
      <c r="E252" s="12">
        <f t="shared" si="1"/>
        <v>5</v>
      </c>
      <c r="F252" s="13">
        <f t="shared" si="2"/>
        <v>0.0005</v>
      </c>
      <c r="G252" s="13" t="str">
        <f t="shared" si="3"/>
        <v>Normal</v>
      </c>
      <c r="H252" s="13" t="str">
        <f t="shared" si="4"/>
        <v>Afternoon</v>
      </c>
      <c r="I252" s="13">
        <f t="shared" si="5"/>
        <v>1</v>
      </c>
      <c r="J252" s="14" t="str">
        <f t="shared" si="6"/>
        <v>AC</v>
      </c>
      <c r="K252" s="15">
        <f t="shared" si="7"/>
        <v>12</v>
      </c>
      <c r="M252" s="15">
        <f t="shared" si="8"/>
        <v>0.8567001115</v>
      </c>
    </row>
    <row r="253">
      <c r="A253" s="10">
        <v>42370.21123842592</v>
      </c>
      <c r="B253" s="11">
        <v>0.455083333</v>
      </c>
      <c r="C253" s="11">
        <v>35.49</v>
      </c>
      <c r="D253" s="11">
        <v>0.64</v>
      </c>
      <c r="E253" s="12">
        <f t="shared" si="1"/>
        <v>5</v>
      </c>
      <c r="F253" s="13">
        <f t="shared" si="2"/>
        <v>0.0005</v>
      </c>
      <c r="G253" s="13" t="str">
        <f t="shared" si="3"/>
        <v>Normal</v>
      </c>
      <c r="H253" s="13" t="str">
        <f t="shared" si="4"/>
        <v>Afternoon</v>
      </c>
      <c r="I253" s="13">
        <f t="shared" si="5"/>
        <v>2</v>
      </c>
      <c r="J253" s="14" t="str">
        <f t="shared" si="6"/>
        <v>Heater</v>
      </c>
      <c r="K253" s="15">
        <f t="shared" si="7"/>
        <v>13</v>
      </c>
      <c r="M253" s="15">
        <f t="shared" si="8"/>
        <v>0.8567001115</v>
      </c>
    </row>
    <row r="254">
      <c r="A254" s="10">
        <v>42370.21125</v>
      </c>
      <c r="B254" s="11">
        <v>0.4309</v>
      </c>
      <c r="C254" s="11">
        <v>35.49</v>
      </c>
      <c r="D254" s="11">
        <v>0.64</v>
      </c>
      <c r="E254" s="12">
        <f t="shared" si="1"/>
        <v>5</v>
      </c>
      <c r="F254" s="13">
        <f t="shared" si="2"/>
        <v>0.0004</v>
      </c>
      <c r="G254" s="13" t="str">
        <f t="shared" si="3"/>
        <v>Normal</v>
      </c>
      <c r="H254" s="13" t="str">
        <f t="shared" si="4"/>
        <v>Afternoon</v>
      </c>
      <c r="I254" s="13">
        <f t="shared" si="5"/>
        <v>3</v>
      </c>
      <c r="J254" s="14" t="str">
        <f t="shared" si="6"/>
        <v>Fridge</v>
      </c>
      <c r="K254" s="15">
        <f t="shared" si="7"/>
        <v>14</v>
      </c>
      <c r="M254" s="15">
        <f t="shared" si="8"/>
        <v>0.8567001115</v>
      </c>
    </row>
    <row r="255">
      <c r="A255" s="10">
        <v>42370.21126157408</v>
      </c>
      <c r="B255" s="11">
        <v>0.765533333</v>
      </c>
      <c r="C255" s="11">
        <v>35.49</v>
      </c>
      <c r="D255" s="11">
        <v>0.64</v>
      </c>
      <c r="E255" s="12">
        <f t="shared" si="1"/>
        <v>5</v>
      </c>
      <c r="F255" s="13">
        <f t="shared" si="2"/>
        <v>0.0008</v>
      </c>
      <c r="G255" s="13" t="str">
        <f t="shared" si="3"/>
        <v>Normal</v>
      </c>
      <c r="H255" s="13" t="str">
        <f t="shared" si="4"/>
        <v>Afternoon</v>
      </c>
      <c r="I255" s="13">
        <f t="shared" si="5"/>
        <v>1</v>
      </c>
      <c r="J255" s="14" t="str">
        <f t="shared" si="6"/>
        <v>AC</v>
      </c>
      <c r="K255" s="15">
        <f t="shared" si="7"/>
        <v>15</v>
      </c>
      <c r="M255" s="15">
        <f t="shared" si="8"/>
        <v>0.8567001115</v>
      </c>
    </row>
    <row r="256">
      <c r="A256" s="10">
        <v>42370.21127314815</v>
      </c>
      <c r="B256" s="11">
        <v>0.714716667</v>
      </c>
      <c r="C256" s="11">
        <v>35.49</v>
      </c>
      <c r="D256" s="11">
        <v>0.64</v>
      </c>
      <c r="E256" s="12">
        <f t="shared" si="1"/>
        <v>5</v>
      </c>
      <c r="F256" s="13">
        <f t="shared" si="2"/>
        <v>0.0007</v>
      </c>
      <c r="G256" s="13" t="str">
        <f t="shared" si="3"/>
        <v>Normal</v>
      </c>
      <c r="H256" s="13" t="str">
        <f t="shared" si="4"/>
        <v>Afternoon</v>
      </c>
      <c r="I256" s="13">
        <f t="shared" si="5"/>
        <v>2</v>
      </c>
      <c r="J256" s="14" t="str">
        <f t="shared" si="6"/>
        <v>Heater</v>
      </c>
      <c r="K256" s="15">
        <f t="shared" si="7"/>
        <v>16</v>
      </c>
      <c r="M256" s="15">
        <f t="shared" si="8"/>
        <v>0.8567001115</v>
      </c>
    </row>
    <row r="257">
      <c r="A257" s="10">
        <v>42370.21128472222</v>
      </c>
      <c r="B257" s="11">
        <v>0.5928</v>
      </c>
      <c r="C257" s="11">
        <v>35.49</v>
      </c>
      <c r="D257" s="11">
        <v>0.64</v>
      </c>
      <c r="E257" s="12">
        <f t="shared" si="1"/>
        <v>5</v>
      </c>
      <c r="F257" s="13">
        <f t="shared" si="2"/>
        <v>0.0006</v>
      </c>
      <c r="G257" s="13" t="str">
        <f t="shared" si="3"/>
        <v>Normal</v>
      </c>
      <c r="H257" s="13" t="str">
        <f t="shared" si="4"/>
        <v>Afternoon</v>
      </c>
      <c r="I257" s="13">
        <f t="shared" si="5"/>
        <v>3</v>
      </c>
      <c r="J257" s="14" t="str">
        <f t="shared" si="6"/>
        <v>Fridge</v>
      </c>
      <c r="K257" s="15">
        <f t="shared" si="7"/>
        <v>17</v>
      </c>
      <c r="M257" s="15">
        <f t="shared" si="8"/>
        <v>0.8567001115</v>
      </c>
    </row>
    <row r="258">
      <c r="A258" s="10">
        <v>42370.2112962963</v>
      </c>
      <c r="B258" s="11">
        <v>0.305833333</v>
      </c>
      <c r="C258" s="11">
        <v>35.49</v>
      </c>
      <c r="D258" s="11">
        <v>0.64</v>
      </c>
      <c r="E258" s="12">
        <f t="shared" si="1"/>
        <v>5</v>
      </c>
      <c r="F258" s="13">
        <f t="shared" si="2"/>
        <v>0.0003</v>
      </c>
      <c r="G258" s="13" t="str">
        <f t="shared" si="3"/>
        <v>Normal</v>
      </c>
      <c r="H258" s="13" t="str">
        <f t="shared" si="4"/>
        <v>Evening</v>
      </c>
      <c r="I258" s="13">
        <f t="shared" si="5"/>
        <v>1</v>
      </c>
      <c r="J258" s="14" t="str">
        <f t="shared" si="6"/>
        <v>AC</v>
      </c>
      <c r="K258" s="15">
        <f t="shared" si="7"/>
        <v>18</v>
      </c>
      <c r="M258" s="15">
        <f t="shared" si="8"/>
        <v>0.8567001115</v>
      </c>
    </row>
    <row r="259">
      <c r="A259" s="10">
        <v>42370.21130787037</v>
      </c>
      <c r="B259" s="11">
        <v>0.304033333</v>
      </c>
      <c r="C259" s="11">
        <v>35.49</v>
      </c>
      <c r="D259" s="11">
        <v>0.64</v>
      </c>
      <c r="E259" s="12">
        <f t="shared" si="1"/>
        <v>5</v>
      </c>
      <c r="F259" s="13">
        <f t="shared" si="2"/>
        <v>0.0003</v>
      </c>
      <c r="G259" s="13" t="str">
        <f t="shared" si="3"/>
        <v>Normal</v>
      </c>
      <c r="H259" s="13" t="str">
        <f t="shared" si="4"/>
        <v>Evening</v>
      </c>
      <c r="I259" s="13">
        <f t="shared" si="5"/>
        <v>2</v>
      </c>
      <c r="J259" s="14" t="str">
        <f t="shared" si="6"/>
        <v>Heater</v>
      </c>
      <c r="K259" s="15">
        <f t="shared" si="7"/>
        <v>19</v>
      </c>
      <c r="M259" s="15">
        <f t="shared" si="8"/>
        <v>0.8567001115</v>
      </c>
    </row>
    <row r="260">
      <c r="A260" s="10">
        <v>42370.21131944444</v>
      </c>
      <c r="B260" s="11">
        <v>0.303583333</v>
      </c>
      <c r="C260" s="11">
        <v>35.49</v>
      </c>
      <c r="D260" s="11">
        <v>0.64</v>
      </c>
      <c r="E260" s="12">
        <f t="shared" si="1"/>
        <v>5</v>
      </c>
      <c r="F260" s="13">
        <f t="shared" si="2"/>
        <v>0.0003</v>
      </c>
      <c r="G260" s="13" t="str">
        <f t="shared" si="3"/>
        <v>Normal</v>
      </c>
      <c r="H260" s="13" t="str">
        <f t="shared" si="4"/>
        <v>Evening</v>
      </c>
      <c r="I260" s="13">
        <f t="shared" si="5"/>
        <v>3</v>
      </c>
      <c r="J260" s="14" t="str">
        <f t="shared" si="6"/>
        <v>Fridge</v>
      </c>
      <c r="K260" s="15">
        <f t="shared" si="7"/>
        <v>20</v>
      </c>
      <c r="M260" s="15">
        <f t="shared" si="8"/>
        <v>0.8567001115</v>
      </c>
    </row>
    <row r="261">
      <c r="A261" s="10">
        <v>42370.21133101852</v>
      </c>
      <c r="B261" s="11">
        <v>0.30335</v>
      </c>
      <c r="C261" s="11">
        <v>35.49</v>
      </c>
      <c r="D261" s="11">
        <v>0.64</v>
      </c>
      <c r="E261" s="12">
        <f t="shared" si="1"/>
        <v>5</v>
      </c>
      <c r="F261" s="13">
        <f t="shared" si="2"/>
        <v>0.0003</v>
      </c>
      <c r="G261" s="13" t="str">
        <f t="shared" si="3"/>
        <v>Normal</v>
      </c>
      <c r="H261" s="13" t="str">
        <f t="shared" si="4"/>
        <v>Evening</v>
      </c>
      <c r="I261" s="13">
        <f t="shared" si="5"/>
        <v>1</v>
      </c>
      <c r="J261" s="14" t="str">
        <f t="shared" si="6"/>
        <v>AC</v>
      </c>
      <c r="K261" s="15">
        <f t="shared" si="7"/>
        <v>21</v>
      </c>
      <c r="M261" s="15">
        <f t="shared" si="8"/>
        <v>0.8567001115</v>
      </c>
    </row>
    <row r="262">
      <c r="A262" s="10">
        <v>42370.21134259259</v>
      </c>
      <c r="B262" s="11">
        <v>0.304083333</v>
      </c>
      <c r="C262" s="11">
        <v>35.49</v>
      </c>
      <c r="D262" s="11">
        <v>0.64</v>
      </c>
      <c r="E262" s="12">
        <f t="shared" si="1"/>
        <v>5</v>
      </c>
      <c r="F262" s="13">
        <f t="shared" si="2"/>
        <v>0.0003</v>
      </c>
      <c r="G262" s="13" t="str">
        <f t="shared" si="3"/>
        <v>Normal</v>
      </c>
      <c r="H262" s="13" t="str">
        <f t="shared" si="4"/>
        <v>Evening</v>
      </c>
      <c r="I262" s="13">
        <f t="shared" si="5"/>
        <v>2</v>
      </c>
      <c r="J262" s="14" t="str">
        <f t="shared" si="6"/>
        <v>Heater</v>
      </c>
      <c r="K262" s="15">
        <f t="shared" si="7"/>
        <v>22</v>
      </c>
      <c r="M262" s="15">
        <f t="shared" si="8"/>
        <v>0.8567001115</v>
      </c>
    </row>
    <row r="263">
      <c r="A263" s="10">
        <v>42370.21135416666</v>
      </c>
      <c r="B263" s="11">
        <v>0.304816667</v>
      </c>
      <c r="C263" s="11">
        <v>35.49</v>
      </c>
      <c r="D263" s="11">
        <v>0.64</v>
      </c>
      <c r="E263" s="12">
        <f t="shared" si="1"/>
        <v>5</v>
      </c>
      <c r="F263" s="13">
        <f t="shared" si="2"/>
        <v>0.0003</v>
      </c>
      <c r="G263" s="13" t="str">
        <f t="shared" si="3"/>
        <v>Normal</v>
      </c>
      <c r="H263" s="13" t="str">
        <f t="shared" si="4"/>
        <v>Evening</v>
      </c>
      <c r="I263" s="13">
        <f t="shared" si="5"/>
        <v>3</v>
      </c>
      <c r="J263" s="14" t="str">
        <f t="shared" si="6"/>
        <v>Fridge</v>
      </c>
      <c r="K263" s="15">
        <f t="shared" si="7"/>
        <v>23</v>
      </c>
      <c r="M263" s="15">
        <f t="shared" si="8"/>
        <v>0.8567001115</v>
      </c>
    </row>
    <row r="264">
      <c r="A264" s="10">
        <v>42370.21136574074</v>
      </c>
      <c r="B264" s="11">
        <v>0.382966667</v>
      </c>
      <c r="C264" s="11">
        <v>35.49</v>
      </c>
      <c r="D264" s="11">
        <v>0.64</v>
      </c>
      <c r="E264" s="12">
        <f t="shared" si="1"/>
        <v>5</v>
      </c>
      <c r="F264" s="13">
        <f t="shared" si="2"/>
        <v>0.0004</v>
      </c>
      <c r="G264" s="13" t="str">
        <f t="shared" si="3"/>
        <v>Normal</v>
      </c>
      <c r="H264" s="13" t="str">
        <f t="shared" si="4"/>
        <v>Night</v>
      </c>
      <c r="I264" s="13">
        <f t="shared" si="5"/>
        <v>1</v>
      </c>
      <c r="J264" s="14" t="str">
        <f t="shared" si="6"/>
        <v>AC</v>
      </c>
      <c r="K264" s="15">
        <f t="shared" si="7"/>
        <v>0</v>
      </c>
      <c r="M264" s="15">
        <f t="shared" si="8"/>
        <v>0.8567001115</v>
      </c>
    </row>
    <row r="265">
      <c r="A265" s="10">
        <v>42370.211377314816</v>
      </c>
      <c r="B265" s="11">
        <v>0.47145</v>
      </c>
      <c r="C265" s="11">
        <v>35.49</v>
      </c>
      <c r="D265" s="11">
        <v>0.64</v>
      </c>
      <c r="E265" s="12">
        <f t="shared" si="1"/>
        <v>5</v>
      </c>
      <c r="F265" s="13">
        <f t="shared" si="2"/>
        <v>0.0005</v>
      </c>
      <c r="G265" s="13" t="str">
        <f t="shared" si="3"/>
        <v>Normal</v>
      </c>
      <c r="H265" s="13" t="str">
        <f t="shared" si="4"/>
        <v>Night</v>
      </c>
      <c r="I265" s="13">
        <f t="shared" si="5"/>
        <v>2</v>
      </c>
      <c r="J265" s="14" t="str">
        <f t="shared" si="6"/>
        <v>Heater</v>
      </c>
      <c r="K265" s="15">
        <f t="shared" si="7"/>
        <v>1</v>
      </c>
      <c r="M265" s="15">
        <f t="shared" si="8"/>
        <v>0.8567001115</v>
      </c>
    </row>
    <row r="266">
      <c r="A266" s="10">
        <v>42370.211388888885</v>
      </c>
      <c r="B266" s="11">
        <v>0.738883333</v>
      </c>
      <c r="C266" s="11">
        <v>35.49</v>
      </c>
      <c r="D266" s="11">
        <v>0.64</v>
      </c>
      <c r="E266" s="12">
        <f t="shared" si="1"/>
        <v>5</v>
      </c>
      <c r="F266" s="13">
        <f t="shared" si="2"/>
        <v>0.0007</v>
      </c>
      <c r="G266" s="13" t="str">
        <f t="shared" si="3"/>
        <v>Normal</v>
      </c>
      <c r="H266" s="13" t="str">
        <f t="shared" si="4"/>
        <v>Night</v>
      </c>
      <c r="I266" s="13">
        <f t="shared" si="5"/>
        <v>3</v>
      </c>
      <c r="J266" s="14" t="str">
        <f t="shared" si="6"/>
        <v>Fridge</v>
      </c>
      <c r="K266" s="15">
        <f t="shared" si="7"/>
        <v>2</v>
      </c>
      <c r="M266" s="15">
        <f t="shared" si="8"/>
        <v>0.8567001115</v>
      </c>
    </row>
    <row r="267">
      <c r="A267" s="10">
        <v>42370.21140046296</v>
      </c>
      <c r="B267" s="11">
        <v>1.5948</v>
      </c>
      <c r="C267" s="11">
        <v>35.49</v>
      </c>
      <c r="D267" s="11">
        <v>0.64</v>
      </c>
      <c r="E267" s="12">
        <f t="shared" si="1"/>
        <v>5</v>
      </c>
      <c r="F267" s="13">
        <f t="shared" si="2"/>
        <v>0.0016</v>
      </c>
      <c r="G267" s="13" t="str">
        <f t="shared" si="3"/>
        <v>High</v>
      </c>
      <c r="H267" s="13" t="str">
        <f t="shared" si="4"/>
        <v>Night</v>
      </c>
      <c r="I267" s="13">
        <f t="shared" si="5"/>
        <v>1</v>
      </c>
      <c r="J267" s="14" t="str">
        <f t="shared" si="6"/>
        <v>AC</v>
      </c>
      <c r="K267" s="15">
        <f t="shared" si="7"/>
        <v>3</v>
      </c>
      <c r="M267" s="15">
        <f t="shared" si="8"/>
        <v>0.8567001115</v>
      </c>
    </row>
    <row r="268">
      <c r="A268" s="10">
        <v>42370.21141203704</v>
      </c>
      <c r="B268" s="11">
        <v>1.618166667</v>
      </c>
      <c r="C268" s="11">
        <v>35.49</v>
      </c>
      <c r="D268" s="11">
        <v>0.64</v>
      </c>
      <c r="E268" s="12">
        <f t="shared" si="1"/>
        <v>5</v>
      </c>
      <c r="F268" s="13">
        <f t="shared" si="2"/>
        <v>0.0016</v>
      </c>
      <c r="G268" s="13" t="str">
        <f t="shared" si="3"/>
        <v>High</v>
      </c>
      <c r="H268" s="13" t="str">
        <f t="shared" si="4"/>
        <v>Night</v>
      </c>
      <c r="I268" s="13">
        <f t="shared" si="5"/>
        <v>2</v>
      </c>
      <c r="J268" s="14" t="str">
        <f t="shared" si="6"/>
        <v>Heater</v>
      </c>
      <c r="K268" s="15">
        <f t="shared" si="7"/>
        <v>4</v>
      </c>
      <c r="M268" s="15">
        <f t="shared" si="8"/>
        <v>0.8567001115</v>
      </c>
    </row>
    <row r="269">
      <c r="A269" s="10">
        <v>42370.21142361111</v>
      </c>
      <c r="B269" s="11">
        <v>1.37305</v>
      </c>
      <c r="C269" s="11">
        <v>35.49</v>
      </c>
      <c r="D269" s="11">
        <v>0.64</v>
      </c>
      <c r="E269" s="12">
        <f t="shared" si="1"/>
        <v>5</v>
      </c>
      <c r="F269" s="13">
        <f t="shared" si="2"/>
        <v>0.0014</v>
      </c>
      <c r="G269" s="13" t="str">
        <f t="shared" si="3"/>
        <v>High</v>
      </c>
      <c r="H269" s="13" t="str">
        <f t="shared" si="4"/>
        <v>Night</v>
      </c>
      <c r="I269" s="13">
        <f t="shared" si="5"/>
        <v>3</v>
      </c>
      <c r="J269" s="14" t="str">
        <f t="shared" si="6"/>
        <v>Fridge</v>
      </c>
      <c r="K269" s="15">
        <f t="shared" si="7"/>
        <v>5</v>
      </c>
      <c r="M269" s="15">
        <f t="shared" si="8"/>
        <v>0.8567001115</v>
      </c>
    </row>
    <row r="270">
      <c r="A270" s="10">
        <v>42370.211435185185</v>
      </c>
      <c r="B270" s="11">
        <v>1.2517</v>
      </c>
      <c r="C270" s="11">
        <v>35.49</v>
      </c>
      <c r="D270" s="11">
        <v>0.64</v>
      </c>
      <c r="E270" s="12">
        <f t="shared" si="1"/>
        <v>5</v>
      </c>
      <c r="F270" s="13">
        <f t="shared" si="2"/>
        <v>0.0013</v>
      </c>
      <c r="G270" s="13" t="str">
        <f t="shared" si="3"/>
        <v>High</v>
      </c>
      <c r="H270" s="13" t="str">
        <f t="shared" si="4"/>
        <v>Morning</v>
      </c>
      <c r="I270" s="13">
        <f t="shared" si="5"/>
        <v>1</v>
      </c>
      <c r="J270" s="14" t="str">
        <f t="shared" si="6"/>
        <v>AC</v>
      </c>
      <c r="K270" s="15">
        <f t="shared" si="7"/>
        <v>6</v>
      </c>
      <c r="M270" s="15">
        <f t="shared" si="8"/>
        <v>0.8567001115</v>
      </c>
    </row>
    <row r="271">
      <c r="A271" s="10">
        <v>42370.21144675926</v>
      </c>
      <c r="B271" s="11">
        <v>0.324166667</v>
      </c>
      <c r="C271" s="11">
        <v>35.49</v>
      </c>
      <c r="D271" s="11">
        <v>0.64</v>
      </c>
      <c r="E271" s="12">
        <f t="shared" si="1"/>
        <v>5</v>
      </c>
      <c r="F271" s="13">
        <f t="shared" si="2"/>
        <v>0.0003</v>
      </c>
      <c r="G271" s="13" t="str">
        <f t="shared" si="3"/>
        <v>Normal</v>
      </c>
      <c r="H271" s="13" t="str">
        <f t="shared" si="4"/>
        <v>Morning</v>
      </c>
      <c r="I271" s="13">
        <f t="shared" si="5"/>
        <v>2</v>
      </c>
      <c r="J271" s="14" t="str">
        <f t="shared" si="6"/>
        <v>Heater</v>
      </c>
      <c r="K271" s="15">
        <f t="shared" si="7"/>
        <v>7</v>
      </c>
      <c r="M271" s="15">
        <f t="shared" si="8"/>
        <v>0.8567001115</v>
      </c>
    </row>
    <row r="272">
      <c r="A272" s="10">
        <v>42370.21145833333</v>
      </c>
      <c r="B272" s="11">
        <v>0.305366667</v>
      </c>
      <c r="C272" s="11">
        <v>35.49</v>
      </c>
      <c r="D272" s="11">
        <v>0.64</v>
      </c>
      <c r="E272" s="12">
        <f t="shared" si="1"/>
        <v>5</v>
      </c>
      <c r="F272" s="13">
        <f t="shared" si="2"/>
        <v>0.0003</v>
      </c>
      <c r="G272" s="13" t="str">
        <f t="shared" si="3"/>
        <v>Normal</v>
      </c>
      <c r="H272" s="13" t="str">
        <f t="shared" si="4"/>
        <v>Morning</v>
      </c>
      <c r="I272" s="13">
        <f t="shared" si="5"/>
        <v>3</v>
      </c>
      <c r="J272" s="14" t="str">
        <f t="shared" si="6"/>
        <v>Fridge</v>
      </c>
      <c r="K272" s="15">
        <f t="shared" si="7"/>
        <v>8</v>
      </c>
      <c r="M272" s="15">
        <f t="shared" si="8"/>
        <v>0.8567001115</v>
      </c>
    </row>
    <row r="273">
      <c r="A273" s="10">
        <v>42370.21146990741</v>
      </c>
      <c r="B273" s="11">
        <v>0.305516667</v>
      </c>
      <c r="C273" s="11">
        <v>35.49</v>
      </c>
      <c r="D273" s="11">
        <v>0.64</v>
      </c>
      <c r="E273" s="12">
        <f t="shared" si="1"/>
        <v>5</v>
      </c>
      <c r="F273" s="13">
        <f t="shared" si="2"/>
        <v>0.0003</v>
      </c>
      <c r="G273" s="13" t="str">
        <f t="shared" si="3"/>
        <v>Normal</v>
      </c>
      <c r="H273" s="13" t="str">
        <f t="shared" si="4"/>
        <v>Morning</v>
      </c>
      <c r="I273" s="13">
        <f t="shared" si="5"/>
        <v>1</v>
      </c>
      <c r="J273" s="14" t="str">
        <f t="shared" si="6"/>
        <v>AC</v>
      </c>
      <c r="K273" s="15">
        <f t="shared" si="7"/>
        <v>9</v>
      </c>
      <c r="M273" s="15">
        <f t="shared" si="8"/>
        <v>0.8567001115</v>
      </c>
    </row>
    <row r="274">
      <c r="A274" s="10">
        <v>42370.211481481485</v>
      </c>
      <c r="B274" s="11">
        <v>0.304466667</v>
      </c>
      <c r="C274" s="11">
        <v>35.49</v>
      </c>
      <c r="D274" s="11">
        <v>0.64</v>
      </c>
      <c r="E274" s="12">
        <f t="shared" si="1"/>
        <v>5</v>
      </c>
      <c r="F274" s="13">
        <f t="shared" si="2"/>
        <v>0.0003</v>
      </c>
      <c r="G274" s="13" t="str">
        <f t="shared" si="3"/>
        <v>Normal</v>
      </c>
      <c r="H274" s="13" t="str">
        <f t="shared" si="4"/>
        <v>Morning</v>
      </c>
      <c r="I274" s="13">
        <f t="shared" si="5"/>
        <v>2</v>
      </c>
      <c r="J274" s="14" t="str">
        <f t="shared" si="6"/>
        <v>Heater</v>
      </c>
      <c r="K274" s="15">
        <f t="shared" si="7"/>
        <v>10</v>
      </c>
      <c r="M274" s="15">
        <f t="shared" si="8"/>
        <v>0.8567001115</v>
      </c>
    </row>
    <row r="275">
      <c r="A275" s="10">
        <v>42370.211493055554</v>
      </c>
      <c r="B275" s="11">
        <v>0.304933333</v>
      </c>
      <c r="C275" s="11">
        <v>35.49</v>
      </c>
      <c r="D275" s="11">
        <v>0.64</v>
      </c>
      <c r="E275" s="12">
        <f t="shared" si="1"/>
        <v>5</v>
      </c>
      <c r="F275" s="13">
        <f t="shared" si="2"/>
        <v>0.0003</v>
      </c>
      <c r="G275" s="13" t="str">
        <f t="shared" si="3"/>
        <v>Normal</v>
      </c>
      <c r="H275" s="13" t="str">
        <f t="shared" si="4"/>
        <v>Morning</v>
      </c>
      <c r="I275" s="13">
        <f t="shared" si="5"/>
        <v>3</v>
      </c>
      <c r="J275" s="14" t="str">
        <f t="shared" si="6"/>
        <v>Fridge</v>
      </c>
      <c r="K275" s="15">
        <f t="shared" si="7"/>
        <v>11</v>
      </c>
      <c r="M275" s="15">
        <f t="shared" si="8"/>
        <v>0.8567001115</v>
      </c>
    </row>
    <row r="276">
      <c r="A276" s="10">
        <v>42370.21150462963</v>
      </c>
      <c r="B276" s="11">
        <v>0.3049</v>
      </c>
      <c r="C276" s="11">
        <v>35.49</v>
      </c>
      <c r="D276" s="11">
        <v>0.64</v>
      </c>
      <c r="E276" s="12">
        <f t="shared" si="1"/>
        <v>5</v>
      </c>
      <c r="F276" s="13">
        <f t="shared" si="2"/>
        <v>0.0003</v>
      </c>
      <c r="G276" s="13" t="str">
        <f t="shared" si="3"/>
        <v>Normal</v>
      </c>
      <c r="H276" s="13" t="str">
        <f t="shared" si="4"/>
        <v>Afternoon</v>
      </c>
      <c r="I276" s="13">
        <f t="shared" si="5"/>
        <v>1</v>
      </c>
      <c r="J276" s="14" t="str">
        <f t="shared" si="6"/>
        <v>AC</v>
      </c>
      <c r="K276" s="15">
        <f t="shared" si="7"/>
        <v>12</v>
      </c>
      <c r="M276" s="15">
        <f t="shared" si="8"/>
        <v>0.8567001115</v>
      </c>
    </row>
    <row r="277">
      <c r="A277" s="10">
        <v>42370.21151620371</v>
      </c>
      <c r="B277" s="11">
        <v>0.373916667</v>
      </c>
      <c r="C277" s="11">
        <v>35.49</v>
      </c>
      <c r="D277" s="11">
        <v>0.64</v>
      </c>
      <c r="E277" s="12">
        <f t="shared" si="1"/>
        <v>5</v>
      </c>
      <c r="F277" s="13">
        <f t="shared" si="2"/>
        <v>0.0004</v>
      </c>
      <c r="G277" s="13" t="str">
        <f t="shared" si="3"/>
        <v>Normal</v>
      </c>
      <c r="H277" s="13" t="str">
        <f t="shared" si="4"/>
        <v>Afternoon</v>
      </c>
      <c r="I277" s="13">
        <f t="shared" si="5"/>
        <v>2</v>
      </c>
      <c r="J277" s="14" t="str">
        <f t="shared" si="6"/>
        <v>Heater</v>
      </c>
      <c r="K277" s="15">
        <f t="shared" si="7"/>
        <v>13</v>
      </c>
      <c r="M277" s="15">
        <f t="shared" si="8"/>
        <v>0.8567001115</v>
      </c>
    </row>
    <row r="278">
      <c r="A278" s="10">
        <v>42370.21152777778</v>
      </c>
      <c r="B278" s="11">
        <v>0.348683333</v>
      </c>
      <c r="C278" s="11">
        <v>35.49</v>
      </c>
      <c r="D278" s="11">
        <v>0.64</v>
      </c>
      <c r="E278" s="12">
        <f t="shared" si="1"/>
        <v>5</v>
      </c>
      <c r="F278" s="13">
        <f t="shared" si="2"/>
        <v>0.0003</v>
      </c>
      <c r="G278" s="13" t="str">
        <f t="shared" si="3"/>
        <v>Normal</v>
      </c>
      <c r="H278" s="13" t="str">
        <f t="shared" si="4"/>
        <v>Afternoon</v>
      </c>
      <c r="I278" s="13">
        <f t="shared" si="5"/>
        <v>3</v>
      </c>
      <c r="J278" s="14" t="str">
        <f t="shared" si="6"/>
        <v>Fridge</v>
      </c>
      <c r="K278" s="15">
        <f t="shared" si="7"/>
        <v>14</v>
      </c>
      <c r="M278" s="15">
        <f t="shared" si="8"/>
        <v>0.8567001115</v>
      </c>
    </row>
    <row r="279">
      <c r="A279" s="10">
        <v>42370.21153935185</v>
      </c>
      <c r="B279" s="11">
        <v>0.4036</v>
      </c>
      <c r="C279" s="11">
        <v>35.49</v>
      </c>
      <c r="D279" s="11">
        <v>0.64</v>
      </c>
      <c r="E279" s="12">
        <f t="shared" si="1"/>
        <v>5</v>
      </c>
      <c r="F279" s="13">
        <f t="shared" si="2"/>
        <v>0.0004</v>
      </c>
      <c r="G279" s="13" t="str">
        <f t="shared" si="3"/>
        <v>Normal</v>
      </c>
      <c r="H279" s="13" t="str">
        <f t="shared" si="4"/>
        <v>Afternoon</v>
      </c>
      <c r="I279" s="13">
        <f t="shared" si="5"/>
        <v>1</v>
      </c>
      <c r="J279" s="14" t="str">
        <f t="shared" si="6"/>
        <v>AC</v>
      </c>
      <c r="K279" s="15">
        <f t="shared" si="7"/>
        <v>15</v>
      </c>
      <c r="M279" s="15">
        <f t="shared" si="8"/>
        <v>0.8567001115</v>
      </c>
    </row>
    <row r="280">
      <c r="A280" s="10">
        <v>42370.21155092593</v>
      </c>
      <c r="B280" s="11">
        <v>0.582433333</v>
      </c>
      <c r="C280" s="11">
        <v>35.49</v>
      </c>
      <c r="D280" s="11">
        <v>0.64</v>
      </c>
      <c r="E280" s="12">
        <f t="shared" si="1"/>
        <v>5</v>
      </c>
      <c r="F280" s="13">
        <f t="shared" si="2"/>
        <v>0.0006</v>
      </c>
      <c r="G280" s="13" t="str">
        <f t="shared" si="3"/>
        <v>Normal</v>
      </c>
      <c r="H280" s="13" t="str">
        <f t="shared" si="4"/>
        <v>Afternoon</v>
      </c>
      <c r="I280" s="13">
        <f t="shared" si="5"/>
        <v>2</v>
      </c>
      <c r="J280" s="14" t="str">
        <f t="shared" si="6"/>
        <v>Heater</v>
      </c>
      <c r="K280" s="15">
        <f t="shared" si="7"/>
        <v>16</v>
      </c>
      <c r="M280" s="15">
        <f t="shared" si="8"/>
        <v>0.8567001115</v>
      </c>
    </row>
    <row r="281">
      <c r="A281" s="10">
        <v>42370.2115625</v>
      </c>
      <c r="B281" s="11">
        <v>0.76795</v>
      </c>
      <c r="C281" s="11">
        <v>35.49</v>
      </c>
      <c r="D281" s="11">
        <v>0.64</v>
      </c>
      <c r="E281" s="12">
        <f t="shared" si="1"/>
        <v>5</v>
      </c>
      <c r="F281" s="13">
        <f t="shared" si="2"/>
        <v>0.0008</v>
      </c>
      <c r="G281" s="13" t="str">
        <f t="shared" si="3"/>
        <v>Normal</v>
      </c>
      <c r="H281" s="13" t="str">
        <f t="shared" si="4"/>
        <v>Afternoon</v>
      </c>
      <c r="I281" s="13">
        <f t="shared" si="5"/>
        <v>3</v>
      </c>
      <c r="J281" s="14" t="str">
        <f t="shared" si="6"/>
        <v>Fridge</v>
      </c>
      <c r="K281" s="15">
        <f t="shared" si="7"/>
        <v>17</v>
      </c>
      <c r="M281" s="15">
        <f t="shared" si="8"/>
        <v>0.8567001115</v>
      </c>
    </row>
    <row r="282">
      <c r="A282" s="10">
        <v>42370.21157407407</v>
      </c>
      <c r="B282" s="11">
        <v>0.72395</v>
      </c>
      <c r="C282" s="11">
        <v>35.49</v>
      </c>
      <c r="D282" s="11">
        <v>0.64</v>
      </c>
      <c r="E282" s="12">
        <f t="shared" si="1"/>
        <v>5</v>
      </c>
      <c r="F282" s="13">
        <f t="shared" si="2"/>
        <v>0.0007</v>
      </c>
      <c r="G282" s="13" t="str">
        <f t="shared" si="3"/>
        <v>Normal</v>
      </c>
      <c r="H282" s="13" t="str">
        <f t="shared" si="4"/>
        <v>Evening</v>
      </c>
      <c r="I282" s="13">
        <f t="shared" si="5"/>
        <v>1</v>
      </c>
      <c r="J282" s="14" t="str">
        <f t="shared" si="6"/>
        <v>AC</v>
      </c>
      <c r="K282" s="15">
        <f t="shared" si="7"/>
        <v>18</v>
      </c>
      <c r="M282" s="15">
        <f t="shared" si="8"/>
        <v>0.8567001115</v>
      </c>
    </row>
    <row r="283">
      <c r="A283" s="10">
        <v>42370.21158564815</v>
      </c>
      <c r="B283" s="11">
        <v>0.660783333</v>
      </c>
      <c r="C283" s="11">
        <v>35.49</v>
      </c>
      <c r="D283" s="11">
        <v>0.64</v>
      </c>
      <c r="E283" s="12">
        <f t="shared" si="1"/>
        <v>5</v>
      </c>
      <c r="F283" s="13">
        <f t="shared" si="2"/>
        <v>0.0007</v>
      </c>
      <c r="G283" s="13" t="str">
        <f t="shared" si="3"/>
        <v>Normal</v>
      </c>
      <c r="H283" s="13" t="str">
        <f t="shared" si="4"/>
        <v>Evening</v>
      </c>
      <c r="I283" s="13">
        <f t="shared" si="5"/>
        <v>2</v>
      </c>
      <c r="J283" s="14" t="str">
        <f t="shared" si="6"/>
        <v>Heater</v>
      </c>
      <c r="K283" s="15">
        <f t="shared" si="7"/>
        <v>19</v>
      </c>
      <c r="M283" s="15">
        <f t="shared" si="8"/>
        <v>0.8567001115</v>
      </c>
    </row>
    <row r="284">
      <c r="A284" s="10">
        <v>42370.211597222224</v>
      </c>
      <c r="B284" s="11">
        <v>0.344016667</v>
      </c>
      <c r="C284" s="11">
        <v>35.49</v>
      </c>
      <c r="D284" s="11">
        <v>0.64</v>
      </c>
      <c r="E284" s="12">
        <f t="shared" si="1"/>
        <v>5</v>
      </c>
      <c r="F284" s="13">
        <f t="shared" si="2"/>
        <v>0.0003</v>
      </c>
      <c r="G284" s="13" t="str">
        <f t="shared" si="3"/>
        <v>Normal</v>
      </c>
      <c r="H284" s="13" t="str">
        <f t="shared" si="4"/>
        <v>Evening</v>
      </c>
      <c r="I284" s="13">
        <f t="shared" si="5"/>
        <v>3</v>
      </c>
      <c r="J284" s="14" t="str">
        <f t="shared" si="6"/>
        <v>Fridge</v>
      </c>
      <c r="K284" s="15">
        <f t="shared" si="7"/>
        <v>20</v>
      </c>
      <c r="M284" s="15">
        <f t="shared" si="8"/>
        <v>0.8567001115</v>
      </c>
    </row>
    <row r="285">
      <c r="A285" s="10">
        <v>42370.21160879629</v>
      </c>
      <c r="B285" s="11">
        <v>0.479716667</v>
      </c>
      <c r="C285" s="11">
        <v>35.49</v>
      </c>
      <c r="D285" s="11">
        <v>0.64</v>
      </c>
      <c r="E285" s="12">
        <f t="shared" si="1"/>
        <v>5</v>
      </c>
      <c r="F285" s="13">
        <f t="shared" si="2"/>
        <v>0.0005</v>
      </c>
      <c r="G285" s="13" t="str">
        <f t="shared" si="3"/>
        <v>Normal</v>
      </c>
      <c r="H285" s="13" t="str">
        <f t="shared" si="4"/>
        <v>Evening</v>
      </c>
      <c r="I285" s="13">
        <f t="shared" si="5"/>
        <v>1</v>
      </c>
      <c r="J285" s="14" t="str">
        <f t="shared" si="6"/>
        <v>AC</v>
      </c>
      <c r="K285" s="15">
        <f t="shared" si="7"/>
        <v>21</v>
      </c>
      <c r="M285" s="15">
        <f t="shared" si="8"/>
        <v>0.8567001115</v>
      </c>
    </row>
    <row r="286">
      <c r="A286" s="10">
        <v>42370.21162037037</v>
      </c>
      <c r="B286" s="11">
        <v>0.7863</v>
      </c>
      <c r="C286" s="11">
        <v>35.49</v>
      </c>
      <c r="D286" s="11">
        <v>0.64</v>
      </c>
      <c r="E286" s="12">
        <f t="shared" si="1"/>
        <v>5</v>
      </c>
      <c r="F286" s="13">
        <f t="shared" si="2"/>
        <v>0.0008</v>
      </c>
      <c r="G286" s="13" t="str">
        <f t="shared" si="3"/>
        <v>Normal</v>
      </c>
      <c r="H286" s="13" t="str">
        <f t="shared" si="4"/>
        <v>Evening</v>
      </c>
      <c r="I286" s="13">
        <f t="shared" si="5"/>
        <v>2</v>
      </c>
      <c r="J286" s="14" t="str">
        <f t="shared" si="6"/>
        <v>Heater</v>
      </c>
      <c r="K286" s="15">
        <f t="shared" si="7"/>
        <v>22</v>
      </c>
      <c r="M286" s="15">
        <f t="shared" si="8"/>
        <v>0.8567001115</v>
      </c>
    </row>
    <row r="287">
      <c r="A287" s="10">
        <v>42370.21163194445</v>
      </c>
      <c r="B287" s="11">
        <v>1.070666667</v>
      </c>
      <c r="C287" s="11">
        <v>35.49</v>
      </c>
      <c r="D287" s="11">
        <v>0.64</v>
      </c>
      <c r="E287" s="12">
        <f t="shared" si="1"/>
        <v>5</v>
      </c>
      <c r="F287" s="13">
        <f t="shared" si="2"/>
        <v>0.0011</v>
      </c>
      <c r="G287" s="13" t="str">
        <f t="shared" si="3"/>
        <v>High</v>
      </c>
      <c r="H287" s="13" t="str">
        <f t="shared" si="4"/>
        <v>Evening</v>
      </c>
      <c r="I287" s="13">
        <f t="shared" si="5"/>
        <v>3</v>
      </c>
      <c r="J287" s="14" t="str">
        <f t="shared" si="6"/>
        <v>Fridge</v>
      </c>
      <c r="K287" s="15">
        <f t="shared" si="7"/>
        <v>23</v>
      </c>
      <c r="M287" s="15">
        <f t="shared" si="8"/>
        <v>0.8567001115</v>
      </c>
    </row>
    <row r="288">
      <c r="A288" s="10">
        <v>42370.211643518516</v>
      </c>
      <c r="B288" s="11">
        <v>1.027233333</v>
      </c>
      <c r="C288" s="11">
        <v>35.49</v>
      </c>
      <c r="D288" s="11">
        <v>0.64</v>
      </c>
      <c r="E288" s="12">
        <f t="shared" si="1"/>
        <v>5</v>
      </c>
      <c r="F288" s="13">
        <f t="shared" si="2"/>
        <v>0.001</v>
      </c>
      <c r="G288" s="13" t="str">
        <f t="shared" si="3"/>
        <v>High</v>
      </c>
      <c r="H288" s="13" t="str">
        <f t="shared" si="4"/>
        <v>Night</v>
      </c>
      <c r="I288" s="13">
        <f t="shared" si="5"/>
        <v>1</v>
      </c>
      <c r="J288" s="14" t="str">
        <f t="shared" si="6"/>
        <v>AC</v>
      </c>
      <c r="K288" s="15">
        <f t="shared" si="7"/>
        <v>0</v>
      </c>
      <c r="M288" s="15">
        <f t="shared" si="8"/>
        <v>0.8567001115</v>
      </c>
    </row>
    <row r="289">
      <c r="A289" s="10">
        <v>42370.21165509259</v>
      </c>
      <c r="B289" s="11">
        <v>0.919716667</v>
      </c>
      <c r="C289" s="11">
        <v>35.49</v>
      </c>
      <c r="D289" s="11">
        <v>0.64</v>
      </c>
      <c r="E289" s="12">
        <f t="shared" si="1"/>
        <v>5</v>
      </c>
      <c r="F289" s="13">
        <f t="shared" si="2"/>
        <v>0.0009</v>
      </c>
      <c r="G289" s="13" t="str">
        <f t="shared" si="3"/>
        <v>High</v>
      </c>
      <c r="H289" s="13" t="str">
        <f t="shared" si="4"/>
        <v>Night</v>
      </c>
      <c r="I289" s="13">
        <f t="shared" si="5"/>
        <v>2</v>
      </c>
      <c r="J289" s="14" t="str">
        <f t="shared" si="6"/>
        <v>Heater</v>
      </c>
      <c r="K289" s="15">
        <f t="shared" si="7"/>
        <v>1</v>
      </c>
      <c r="M289" s="15">
        <f t="shared" si="8"/>
        <v>0.8567001115</v>
      </c>
    </row>
    <row r="290">
      <c r="A290" s="10">
        <v>42370.21166666667</v>
      </c>
      <c r="B290" s="11">
        <v>0.6415</v>
      </c>
      <c r="C290" s="11">
        <v>35.49</v>
      </c>
      <c r="D290" s="11">
        <v>0.64</v>
      </c>
      <c r="E290" s="12">
        <f t="shared" si="1"/>
        <v>5</v>
      </c>
      <c r="F290" s="13">
        <f t="shared" si="2"/>
        <v>0.0006</v>
      </c>
      <c r="G290" s="13" t="str">
        <f t="shared" si="3"/>
        <v>Normal</v>
      </c>
      <c r="H290" s="13" t="str">
        <f t="shared" si="4"/>
        <v>Night</v>
      </c>
      <c r="I290" s="13">
        <f t="shared" si="5"/>
        <v>3</v>
      </c>
      <c r="J290" s="14" t="str">
        <f t="shared" si="6"/>
        <v>Fridge</v>
      </c>
      <c r="K290" s="15">
        <f t="shared" si="7"/>
        <v>2</v>
      </c>
      <c r="M290" s="15">
        <f t="shared" si="8"/>
        <v>0.8567001115</v>
      </c>
    </row>
    <row r="291">
      <c r="A291" s="10">
        <v>42370.21167824074</v>
      </c>
      <c r="B291" s="11">
        <v>0.305633333</v>
      </c>
      <c r="C291" s="11">
        <v>35.49</v>
      </c>
      <c r="D291" s="11">
        <v>0.64</v>
      </c>
      <c r="E291" s="12">
        <f t="shared" si="1"/>
        <v>5</v>
      </c>
      <c r="F291" s="13">
        <f t="shared" si="2"/>
        <v>0.0003</v>
      </c>
      <c r="G291" s="13" t="str">
        <f t="shared" si="3"/>
        <v>Normal</v>
      </c>
      <c r="H291" s="13" t="str">
        <f t="shared" si="4"/>
        <v>Night</v>
      </c>
      <c r="I291" s="13">
        <f t="shared" si="5"/>
        <v>1</v>
      </c>
      <c r="J291" s="14" t="str">
        <f t="shared" si="6"/>
        <v>AC</v>
      </c>
      <c r="K291" s="15">
        <f t="shared" si="7"/>
        <v>3</v>
      </c>
      <c r="M291" s="15">
        <f t="shared" si="8"/>
        <v>0.8567001115</v>
      </c>
    </row>
    <row r="292">
      <c r="A292" s="10">
        <v>42370.211689814816</v>
      </c>
      <c r="B292" s="11">
        <v>0.38205</v>
      </c>
      <c r="C292" s="11">
        <v>35.26</v>
      </c>
      <c r="D292" s="11">
        <v>0.65</v>
      </c>
      <c r="E292" s="12">
        <f t="shared" si="1"/>
        <v>5</v>
      </c>
      <c r="F292" s="13">
        <f t="shared" si="2"/>
        <v>0.0004</v>
      </c>
      <c r="G292" s="13" t="str">
        <f t="shared" si="3"/>
        <v>Normal</v>
      </c>
      <c r="H292" s="13" t="str">
        <f t="shared" si="4"/>
        <v>Night</v>
      </c>
      <c r="I292" s="13">
        <f t="shared" si="5"/>
        <v>2</v>
      </c>
      <c r="J292" s="14" t="str">
        <f t="shared" si="6"/>
        <v>Heater</v>
      </c>
      <c r="K292" s="15">
        <f t="shared" si="7"/>
        <v>4</v>
      </c>
      <c r="M292" s="15">
        <f t="shared" si="8"/>
        <v>0.8567001115</v>
      </c>
    </row>
    <row r="293">
      <c r="A293" s="10">
        <v>42370.21170138889</v>
      </c>
      <c r="B293" s="11">
        <v>0.348133333</v>
      </c>
      <c r="C293" s="11">
        <v>35.26</v>
      </c>
      <c r="D293" s="11">
        <v>0.65</v>
      </c>
      <c r="E293" s="12">
        <f t="shared" si="1"/>
        <v>5</v>
      </c>
      <c r="F293" s="13">
        <f t="shared" si="2"/>
        <v>0.0003</v>
      </c>
      <c r="G293" s="13" t="str">
        <f t="shared" si="3"/>
        <v>Normal</v>
      </c>
      <c r="H293" s="13" t="str">
        <f t="shared" si="4"/>
        <v>Night</v>
      </c>
      <c r="I293" s="13">
        <f t="shared" si="5"/>
        <v>3</v>
      </c>
      <c r="J293" s="14" t="str">
        <f t="shared" si="6"/>
        <v>Fridge</v>
      </c>
      <c r="K293" s="15">
        <f t="shared" si="7"/>
        <v>5</v>
      </c>
      <c r="M293" s="15">
        <f t="shared" si="8"/>
        <v>0.8567001115</v>
      </c>
    </row>
    <row r="294">
      <c r="A294" s="10">
        <v>42370.21171296296</v>
      </c>
      <c r="B294" s="11">
        <v>0.405833333</v>
      </c>
      <c r="C294" s="11">
        <v>35.26</v>
      </c>
      <c r="D294" s="11">
        <v>0.65</v>
      </c>
      <c r="E294" s="12">
        <f t="shared" si="1"/>
        <v>5</v>
      </c>
      <c r="F294" s="13">
        <f t="shared" si="2"/>
        <v>0.0004</v>
      </c>
      <c r="G294" s="13" t="str">
        <f t="shared" si="3"/>
        <v>Normal</v>
      </c>
      <c r="H294" s="13" t="str">
        <f t="shared" si="4"/>
        <v>Morning</v>
      </c>
      <c r="I294" s="13">
        <f t="shared" si="5"/>
        <v>1</v>
      </c>
      <c r="J294" s="14" t="str">
        <f t="shared" si="6"/>
        <v>AC</v>
      </c>
      <c r="K294" s="15">
        <f t="shared" si="7"/>
        <v>6</v>
      </c>
      <c r="M294" s="15">
        <f t="shared" si="8"/>
        <v>0.8567001115</v>
      </c>
    </row>
    <row r="295">
      <c r="A295" s="10">
        <v>42370.21172453703</v>
      </c>
      <c r="B295" s="11">
        <v>0.649016667</v>
      </c>
      <c r="C295" s="11">
        <v>35.26</v>
      </c>
      <c r="D295" s="11">
        <v>0.65</v>
      </c>
      <c r="E295" s="12">
        <f t="shared" si="1"/>
        <v>5</v>
      </c>
      <c r="F295" s="13">
        <f t="shared" si="2"/>
        <v>0.0006</v>
      </c>
      <c r="G295" s="13" t="str">
        <f t="shared" si="3"/>
        <v>Normal</v>
      </c>
      <c r="H295" s="13" t="str">
        <f t="shared" si="4"/>
        <v>Morning</v>
      </c>
      <c r="I295" s="13">
        <f t="shared" si="5"/>
        <v>2</v>
      </c>
      <c r="J295" s="14" t="str">
        <f t="shared" si="6"/>
        <v>Heater</v>
      </c>
      <c r="K295" s="15">
        <f t="shared" si="7"/>
        <v>7</v>
      </c>
      <c r="M295" s="15">
        <f t="shared" si="8"/>
        <v>0.8567001115</v>
      </c>
    </row>
    <row r="296">
      <c r="A296" s="10">
        <v>42370.211736111116</v>
      </c>
      <c r="B296" s="11">
        <v>0.766933333</v>
      </c>
      <c r="C296" s="11">
        <v>35.26</v>
      </c>
      <c r="D296" s="11">
        <v>0.65</v>
      </c>
      <c r="E296" s="12">
        <f t="shared" si="1"/>
        <v>5</v>
      </c>
      <c r="F296" s="13">
        <f t="shared" si="2"/>
        <v>0.0008</v>
      </c>
      <c r="G296" s="13" t="str">
        <f t="shared" si="3"/>
        <v>Normal</v>
      </c>
      <c r="H296" s="13" t="str">
        <f t="shared" si="4"/>
        <v>Morning</v>
      </c>
      <c r="I296" s="13">
        <f t="shared" si="5"/>
        <v>3</v>
      </c>
      <c r="J296" s="14" t="str">
        <f t="shared" si="6"/>
        <v>Fridge</v>
      </c>
      <c r="K296" s="15">
        <f t="shared" si="7"/>
        <v>8</v>
      </c>
      <c r="M296" s="15">
        <f t="shared" si="8"/>
        <v>0.8567001115</v>
      </c>
    </row>
    <row r="297">
      <c r="A297" s="10">
        <v>42370.211747685185</v>
      </c>
      <c r="B297" s="11">
        <v>0.788283333</v>
      </c>
      <c r="C297" s="11">
        <v>35.26</v>
      </c>
      <c r="D297" s="11">
        <v>0.65</v>
      </c>
      <c r="E297" s="12">
        <f t="shared" si="1"/>
        <v>5</v>
      </c>
      <c r="F297" s="13">
        <f t="shared" si="2"/>
        <v>0.0008</v>
      </c>
      <c r="G297" s="13" t="str">
        <f t="shared" si="3"/>
        <v>Normal</v>
      </c>
      <c r="H297" s="13" t="str">
        <f t="shared" si="4"/>
        <v>Morning</v>
      </c>
      <c r="I297" s="13">
        <f t="shared" si="5"/>
        <v>1</v>
      </c>
      <c r="J297" s="14" t="str">
        <f t="shared" si="6"/>
        <v>AC</v>
      </c>
      <c r="K297" s="15">
        <f t="shared" si="7"/>
        <v>9</v>
      </c>
      <c r="M297" s="15">
        <f t="shared" si="8"/>
        <v>0.8567001115</v>
      </c>
    </row>
    <row r="298">
      <c r="A298" s="10">
        <v>42370.211759259255</v>
      </c>
      <c r="B298" s="11">
        <v>0.888083333</v>
      </c>
      <c r="C298" s="11">
        <v>35.26</v>
      </c>
      <c r="D298" s="11">
        <v>0.65</v>
      </c>
      <c r="E298" s="12">
        <f t="shared" si="1"/>
        <v>5</v>
      </c>
      <c r="F298" s="13">
        <f t="shared" si="2"/>
        <v>0.0009</v>
      </c>
      <c r="G298" s="13" t="str">
        <f t="shared" si="3"/>
        <v>High</v>
      </c>
      <c r="H298" s="13" t="str">
        <f t="shared" si="4"/>
        <v>Morning</v>
      </c>
      <c r="I298" s="13">
        <f t="shared" si="5"/>
        <v>2</v>
      </c>
      <c r="J298" s="14" t="str">
        <f t="shared" si="6"/>
        <v>Heater</v>
      </c>
      <c r="K298" s="15">
        <f t="shared" si="7"/>
        <v>10</v>
      </c>
      <c r="M298" s="15">
        <f t="shared" si="8"/>
        <v>0.8567001115</v>
      </c>
    </row>
    <row r="299">
      <c r="A299" s="10">
        <v>42370.21177083333</v>
      </c>
      <c r="B299" s="11">
        <v>0.7441</v>
      </c>
      <c r="C299" s="11">
        <v>35.26</v>
      </c>
      <c r="D299" s="11">
        <v>0.65</v>
      </c>
      <c r="E299" s="12">
        <f t="shared" si="1"/>
        <v>5</v>
      </c>
      <c r="F299" s="13">
        <f t="shared" si="2"/>
        <v>0.0007</v>
      </c>
      <c r="G299" s="13" t="str">
        <f t="shared" si="3"/>
        <v>Normal</v>
      </c>
      <c r="H299" s="13" t="str">
        <f t="shared" si="4"/>
        <v>Morning</v>
      </c>
      <c r="I299" s="13">
        <f t="shared" si="5"/>
        <v>3</v>
      </c>
      <c r="J299" s="14" t="str">
        <f t="shared" si="6"/>
        <v>Fridge</v>
      </c>
      <c r="K299" s="15">
        <f t="shared" si="7"/>
        <v>11</v>
      </c>
      <c r="M299" s="15">
        <f t="shared" si="8"/>
        <v>0.8567001115</v>
      </c>
    </row>
    <row r="300">
      <c r="A300" s="10">
        <v>42370.21178240741</v>
      </c>
      <c r="B300" s="11">
        <v>0.460766667</v>
      </c>
      <c r="C300" s="11">
        <v>35.26</v>
      </c>
      <c r="D300" s="11">
        <v>0.65</v>
      </c>
      <c r="E300" s="12">
        <f t="shared" si="1"/>
        <v>5</v>
      </c>
      <c r="F300" s="13">
        <f t="shared" si="2"/>
        <v>0.0005</v>
      </c>
      <c r="G300" s="13" t="str">
        <f t="shared" si="3"/>
        <v>Normal</v>
      </c>
      <c r="H300" s="13" t="str">
        <f t="shared" si="4"/>
        <v>Afternoon</v>
      </c>
      <c r="I300" s="13">
        <f t="shared" si="5"/>
        <v>1</v>
      </c>
      <c r="J300" s="14" t="str">
        <f t="shared" si="6"/>
        <v>AC</v>
      </c>
      <c r="K300" s="15">
        <f t="shared" si="7"/>
        <v>12</v>
      </c>
      <c r="M300" s="15">
        <f t="shared" si="8"/>
        <v>0.8567001115</v>
      </c>
    </row>
    <row r="301">
      <c r="A301" s="24"/>
      <c r="E301" s="24"/>
      <c r="J301" s="25"/>
      <c r="K301" s="9"/>
      <c r="M301" s="9"/>
    </row>
    <row r="302">
      <c r="A302" s="24"/>
      <c r="E302" s="24"/>
      <c r="K302" s="9"/>
      <c r="M302" s="9"/>
    </row>
    <row r="303">
      <c r="A303" s="24"/>
      <c r="E303" s="24"/>
      <c r="K303" s="9"/>
      <c r="M303" s="9"/>
    </row>
    <row r="304">
      <c r="A304" s="24"/>
      <c r="E304" s="24"/>
      <c r="K304" s="9"/>
      <c r="M304" s="9"/>
    </row>
    <row r="305">
      <c r="A305" s="24"/>
      <c r="E305" s="24"/>
      <c r="K305" s="9"/>
      <c r="M305" s="9"/>
    </row>
    <row r="306">
      <c r="A306" s="24"/>
      <c r="E306" s="24"/>
      <c r="K306" s="9"/>
      <c r="M306" s="9"/>
    </row>
    <row r="307">
      <c r="A307" s="24"/>
      <c r="E307" s="24"/>
      <c r="K307" s="9"/>
      <c r="M307" s="9"/>
    </row>
    <row r="308">
      <c r="A308" s="24"/>
      <c r="E308" s="24"/>
      <c r="K308" s="9"/>
      <c r="M308" s="9"/>
    </row>
    <row r="309">
      <c r="A309" s="24"/>
      <c r="E309" s="24"/>
      <c r="K309" s="9"/>
      <c r="M309" s="9"/>
    </row>
    <row r="310">
      <c r="A310" s="24"/>
      <c r="E310" s="24"/>
      <c r="K310" s="9"/>
      <c r="M310" s="9"/>
    </row>
    <row r="311">
      <c r="A311" s="24"/>
      <c r="E311" s="24"/>
      <c r="K311" s="9"/>
      <c r="M311" s="9"/>
    </row>
    <row r="312">
      <c r="A312" s="24"/>
      <c r="E312" s="24"/>
      <c r="K312" s="9"/>
      <c r="M312" s="9"/>
    </row>
    <row r="313">
      <c r="A313" s="24"/>
      <c r="E313" s="24"/>
      <c r="K313" s="9"/>
      <c r="M313" s="9"/>
    </row>
    <row r="314">
      <c r="A314" s="24"/>
      <c r="E314" s="24"/>
      <c r="K314" s="9"/>
      <c r="M314" s="9"/>
    </row>
    <row r="315">
      <c r="A315" s="24"/>
      <c r="E315" s="24"/>
      <c r="K315" s="9"/>
      <c r="M315" s="9"/>
    </row>
    <row r="316">
      <c r="A316" s="24"/>
      <c r="E316" s="24"/>
      <c r="K316" s="9"/>
      <c r="M316" s="9"/>
    </row>
    <row r="317">
      <c r="A317" s="24"/>
      <c r="E317" s="24"/>
      <c r="K317" s="9"/>
      <c r="M317" s="9"/>
    </row>
    <row r="318">
      <c r="A318" s="24"/>
      <c r="E318" s="24"/>
      <c r="K318" s="9"/>
      <c r="M318" s="9"/>
    </row>
    <row r="319">
      <c r="A319" s="24"/>
      <c r="E319" s="24"/>
      <c r="K319" s="9"/>
      <c r="M319" s="9"/>
    </row>
    <row r="320">
      <c r="A320" s="24"/>
      <c r="E320" s="24"/>
      <c r="K320" s="9"/>
      <c r="M320" s="9"/>
    </row>
    <row r="321">
      <c r="A321" s="24"/>
      <c r="E321" s="24"/>
      <c r="K321" s="9"/>
      <c r="M321" s="9"/>
    </row>
    <row r="322">
      <c r="A322" s="24"/>
      <c r="E322" s="24"/>
      <c r="K322" s="9"/>
      <c r="M322" s="9"/>
    </row>
    <row r="323">
      <c r="A323" s="24"/>
      <c r="E323" s="24"/>
      <c r="K323" s="9"/>
      <c r="M323" s="9"/>
    </row>
    <row r="324">
      <c r="A324" s="24"/>
      <c r="E324" s="24"/>
      <c r="K324" s="9"/>
      <c r="M324" s="9"/>
    </row>
    <row r="325">
      <c r="A325" s="24"/>
      <c r="E325" s="24"/>
      <c r="K325" s="9"/>
      <c r="M325" s="9"/>
    </row>
    <row r="326">
      <c r="A326" s="24"/>
      <c r="E326" s="24"/>
      <c r="K326" s="9"/>
      <c r="M326" s="9"/>
    </row>
    <row r="327">
      <c r="A327" s="24"/>
      <c r="E327" s="24"/>
      <c r="K327" s="9"/>
      <c r="M327" s="9"/>
    </row>
    <row r="328">
      <c r="A328" s="24"/>
      <c r="E328" s="24"/>
      <c r="K328" s="9"/>
      <c r="M328" s="9"/>
    </row>
    <row r="329">
      <c r="A329" s="24"/>
      <c r="E329" s="24"/>
      <c r="K329" s="9"/>
      <c r="M329" s="9"/>
    </row>
    <row r="330">
      <c r="A330" s="24"/>
      <c r="E330" s="24"/>
      <c r="K330" s="9"/>
      <c r="M330" s="9"/>
    </row>
    <row r="331">
      <c r="A331" s="24"/>
      <c r="E331" s="24"/>
      <c r="K331" s="9"/>
      <c r="M331" s="9"/>
    </row>
    <row r="332">
      <c r="A332" s="24"/>
      <c r="E332" s="24"/>
      <c r="K332" s="9"/>
      <c r="M332" s="9"/>
    </row>
    <row r="333">
      <c r="A333" s="24"/>
      <c r="E333" s="24"/>
      <c r="K333" s="9"/>
      <c r="M333" s="9"/>
    </row>
    <row r="334">
      <c r="A334" s="24"/>
      <c r="E334" s="24"/>
      <c r="K334" s="9"/>
      <c r="M334" s="9"/>
    </row>
    <row r="335">
      <c r="A335" s="24"/>
      <c r="E335" s="24"/>
      <c r="K335" s="9"/>
      <c r="M335" s="9"/>
    </row>
    <row r="336">
      <c r="A336" s="24"/>
      <c r="E336" s="24"/>
      <c r="K336" s="9"/>
      <c r="M336" s="9"/>
    </row>
    <row r="337">
      <c r="A337" s="24"/>
      <c r="E337" s="24"/>
      <c r="K337" s="9"/>
      <c r="M337" s="9"/>
    </row>
    <row r="338">
      <c r="A338" s="24"/>
      <c r="E338" s="24"/>
      <c r="K338" s="9"/>
      <c r="M338" s="9"/>
    </row>
    <row r="339">
      <c r="A339" s="24"/>
      <c r="E339" s="24"/>
      <c r="K339" s="9"/>
      <c r="M339" s="9"/>
    </row>
    <row r="340">
      <c r="A340" s="24"/>
      <c r="E340" s="24"/>
      <c r="K340" s="9"/>
      <c r="M340" s="9"/>
    </row>
    <row r="341">
      <c r="A341" s="24"/>
      <c r="E341" s="24"/>
      <c r="K341" s="9"/>
      <c r="M341" s="9"/>
    </row>
    <row r="342">
      <c r="A342" s="24"/>
      <c r="E342" s="24"/>
      <c r="K342" s="9"/>
      <c r="M342" s="9"/>
    </row>
    <row r="343">
      <c r="A343" s="24"/>
      <c r="E343" s="24"/>
      <c r="K343" s="9"/>
      <c r="M343" s="9"/>
    </row>
    <row r="344">
      <c r="A344" s="24"/>
      <c r="E344" s="24"/>
      <c r="K344" s="9"/>
      <c r="M344" s="9"/>
    </row>
    <row r="345">
      <c r="A345" s="24"/>
      <c r="E345" s="24"/>
      <c r="K345" s="9"/>
      <c r="M345" s="9"/>
    </row>
    <row r="346">
      <c r="A346" s="24"/>
      <c r="E346" s="24"/>
      <c r="K346" s="9"/>
      <c r="M346" s="9"/>
    </row>
    <row r="347">
      <c r="A347" s="24"/>
      <c r="E347" s="24"/>
      <c r="K347" s="9"/>
      <c r="M347" s="9"/>
    </row>
    <row r="348">
      <c r="A348" s="24"/>
      <c r="E348" s="24"/>
      <c r="K348" s="9"/>
      <c r="M348" s="9"/>
    </row>
    <row r="349">
      <c r="A349" s="24"/>
      <c r="E349" s="24"/>
      <c r="K349" s="9"/>
      <c r="M349" s="9"/>
    </row>
    <row r="350">
      <c r="A350" s="24"/>
      <c r="E350" s="24"/>
      <c r="K350" s="9"/>
      <c r="M350" s="9"/>
    </row>
    <row r="351">
      <c r="A351" s="24"/>
      <c r="E351" s="24"/>
      <c r="K351" s="9"/>
      <c r="M351" s="9"/>
    </row>
    <row r="352">
      <c r="A352" s="24"/>
      <c r="E352" s="24"/>
      <c r="K352" s="9"/>
      <c r="M352" s="9"/>
    </row>
    <row r="353">
      <c r="A353" s="24"/>
      <c r="E353" s="24"/>
      <c r="K353" s="9"/>
      <c r="M353" s="9"/>
    </row>
    <row r="354">
      <c r="A354" s="24"/>
      <c r="E354" s="24"/>
      <c r="K354" s="9"/>
      <c r="M354" s="9"/>
    </row>
    <row r="355">
      <c r="A355" s="24"/>
      <c r="E355" s="24"/>
      <c r="K355" s="9"/>
      <c r="M355" s="9"/>
    </row>
    <row r="356">
      <c r="A356" s="24"/>
      <c r="E356" s="24"/>
      <c r="K356" s="9"/>
      <c r="M356" s="9"/>
    </row>
    <row r="357">
      <c r="A357" s="24"/>
      <c r="E357" s="24"/>
      <c r="K357" s="9"/>
      <c r="M357" s="9"/>
    </row>
    <row r="358">
      <c r="A358" s="24"/>
      <c r="E358" s="24"/>
      <c r="K358" s="9"/>
      <c r="M358" s="9"/>
    </row>
    <row r="359">
      <c r="A359" s="24"/>
      <c r="E359" s="24"/>
      <c r="K359" s="9"/>
      <c r="M359" s="9"/>
    </row>
    <row r="360">
      <c r="A360" s="24"/>
      <c r="E360" s="24"/>
      <c r="K360" s="9"/>
      <c r="M360" s="9"/>
    </row>
    <row r="361">
      <c r="A361" s="24"/>
      <c r="E361" s="24"/>
      <c r="K361" s="9"/>
      <c r="M361" s="9"/>
    </row>
    <row r="362">
      <c r="A362" s="24"/>
      <c r="E362" s="24"/>
      <c r="K362" s="9"/>
      <c r="M362" s="9"/>
    </row>
    <row r="363">
      <c r="A363" s="24"/>
      <c r="E363" s="24"/>
      <c r="K363" s="9"/>
      <c r="M363" s="9"/>
    </row>
    <row r="364">
      <c r="A364" s="24"/>
      <c r="E364" s="24"/>
      <c r="K364" s="9"/>
      <c r="M364" s="9"/>
    </row>
    <row r="365">
      <c r="A365" s="24"/>
      <c r="E365" s="24"/>
      <c r="K365" s="9"/>
      <c r="M365" s="9"/>
    </row>
    <row r="366">
      <c r="A366" s="24"/>
      <c r="E366" s="24"/>
      <c r="K366" s="9"/>
      <c r="M366" s="9"/>
    </row>
    <row r="367">
      <c r="A367" s="24"/>
      <c r="E367" s="24"/>
      <c r="K367" s="9"/>
      <c r="M367" s="9"/>
    </row>
    <row r="368">
      <c r="A368" s="24"/>
      <c r="E368" s="24"/>
      <c r="K368" s="9"/>
      <c r="M368" s="9"/>
    </row>
    <row r="369">
      <c r="A369" s="24"/>
      <c r="E369" s="24"/>
      <c r="K369" s="9"/>
      <c r="M369" s="9"/>
    </row>
    <row r="370">
      <c r="A370" s="24"/>
      <c r="E370" s="24"/>
      <c r="K370" s="9"/>
      <c r="M370" s="9"/>
    </row>
    <row r="371">
      <c r="A371" s="24"/>
      <c r="E371" s="24"/>
      <c r="K371" s="9"/>
      <c r="M371" s="9"/>
    </row>
    <row r="372">
      <c r="A372" s="24"/>
      <c r="E372" s="24"/>
      <c r="K372" s="9"/>
      <c r="M372" s="9"/>
    </row>
    <row r="373">
      <c r="A373" s="24"/>
      <c r="E373" s="24"/>
      <c r="K373" s="9"/>
      <c r="M373" s="9"/>
    </row>
    <row r="374">
      <c r="A374" s="24"/>
      <c r="E374" s="24"/>
      <c r="K374" s="9"/>
      <c r="M374" s="9"/>
    </row>
    <row r="375">
      <c r="A375" s="24"/>
      <c r="E375" s="24"/>
      <c r="K375" s="9"/>
      <c r="M375" s="9"/>
    </row>
    <row r="376">
      <c r="A376" s="24"/>
      <c r="E376" s="24"/>
      <c r="K376" s="9"/>
      <c r="M376" s="9"/>
    </row>
    <row r="377">
      <c r="A377" s="24"/>
      <c r="E377" s="24"/>
      <c r="K377" s="9"/>
      <c r="M377" s="9"/>
    </row>
    <row r="378">
      <c r="A378" s="24"/>
      <c r="E378" s="24"/>
      <c r="K378" s="9"/>
      <c r="M378" s="9"/>
    </row>
    <row r="379">
      <c r="A379" s="24"/>
      <c r="E379" s="24"/>
      <c r="K379" s="9"/>
      <c r="M379" s="9"/>
    </row>
    <row r="380">
      <c r="A380" s="24"/>
      <c r="E380" s="24"/>
      <c r="K380" s="9"/>
      <c r="M380" s="9"/>
    </row>
    <row r="381">
      <c r="A381" s="24"/>
      <c r="E381" s="24"/>
      <c r="K381" s="9"/>
      <c r="M381" s="9"/>
    </row>
    <row r="382">
      <c r="A382" s="24"/>
      <c r="E382" s="24"/>
      <c r="K382" s="9"/>
      <c r="M382" s="9"/>
    </row>
    <row r="383">
      <c r="A383" s="24"/>
      <c r="E383" s="24"/>
      <c r="K383" s="9"/>
      <c r="M383" s="9"/>
    </row>
    <row r="384">
      <c r="A384" s="24"/>
      <c r="E384" s="24"/>
      <c r="K384" s="9"/>
      <c r="M384" s="9"/>
    </row>
    <row r="385">
      <c r="A385" s="24"/>
      <c r="E385" s="24"/>
      <c r="K385" s="9"/>
      <c r="M385" s="9"/>
    </row>
    <row r="386">
      <c r="A386" s="24"/>
      <c r="E386" s="24"/>
      <c r="K386" s="9"/>
      <c r="M386" s="9"/>
    </row>
    <row r="387">
      <c r="A387" s="24"/>
      <c r="E387" s="24"/>
      <c r="K387" s="9"/>
      <c r="M387" s="9"/>
    </row>
    <row r="388">
      <c r="A388" s="24"/>
      <c r="E388" s="24"/>
      <c r="K388" s="9"/>
      <c r="M388" s="9"/>
    </row>
    <row r="389">
      <c r="A389" s="24"/>
      <c r="E389" s="24"/>
      <c r="K389" s="9"/>
      <c r="M389" s="9"/>
    </row>
    <row r="390">
      <c r="A390" s="24"/>
      <c r="E390" s="24"/>
      <c r="K390" s="9"/>
      <c r="M390" s="9"/>
    </row>
    <row r="391">
      <c r="A391" s="24"/>
      <c r="E391" s="24"/>
      <c r="K391" s="9"/>
      <c r="M391" s="9"/>
    </row>
    <row r="392">
      <c r="A392" s="24"/>
      <c r="E392" s="24"/>
      <c r="K392" s="9"/>
      <c r="M392" s="9"/>
    </row>
    <row r="393">
      <c r="A393" s="24"/>
      <c r="E393" s="24"/>
      <c r="K393" s="9"/>
      <c r="M393" s="9"/>
    </row>
    <row r="394">
      <c r="A394" s="24"/>
      <c r="E394" s="24"/>
      <c r="K394" s="9"/>
      <c r="M394" s="9"/>
    </row>
    <row r="395">
      <c r="A395" s="24"/>
      <c r="E395" s="24"/>
      <c r="K395" s="9"/>
      <c r="M395" s="9"/>
    </row>
    <row r="396">
      <c r="A396" s="24"/>
      <c r="E396" s="24"/>
      <c r="K396" s="9"/>
      <c r="M396" s="9"/>
    </row>
    <row r="397">
      <c r="A397" s="24"/>
      <c r="E397" s="24"/>
      <c r="K397" s="9"/>
      <c r="M397" s="9"/>
    </row>
    <row r="398">
      <c r="A398" s="24"/>
      <c r="E398" s="24"/>
      <c r="K398" s="9"/>
      <c r="M398" s="9"/>
    </row>
    <row r="399">
      <c r="A399" s="24"/>
      <c r="E399" s="24"/>
      <c r="K399" s="9"/>
      <c r="M399" s="9"/>
    </row>
    <row r="400">
      <c r="A400" s="24"/>
      <c r="E400" s="24"/>
      <c r="K400" s="9"/>
      <c r="M400" s="9"/>
    </row>
    <row r="401">
      <c r="A401" s="24"/>
      <c r="E401" s="24"/>
      <c r="K401" s="9"/>
      <c r="M401" s="9"/>
    </row>
    <row r="402">
      <c r="A402" s="24"/>
      <c r="E402" s="24"/>
      <c r="K402" s="9"/>
      <c r="M402" s="9"/>
    </row>
    <row r="403">
      <c r="A403" s="24"/>
      <c r="E403" s="24"/>
      <c r="K403" s="9"/>
      <c r="M403" s="9"/>
    </row>
    <row r="404">
      <c r="A404" s="24"/>
      <c r="E404" s="24"/>
      <c r="K404" s="9"/>
      <c r="M404" s="9"/>
    </row>
    <row r="405">
      <c r="A405" s="24"/>
      <c r="E405" s="24"/>
      <c r="K405" s="9"/>
      <c r="M405" s="9"/>
    </row>
    <row r="406">
      <c r="A406" s="24"/>
      <c r="E406" s="24"/>
      <c r="K406" s="9"/>
      <c r="M406" s="9"/>
    </row>
    <row r="407">
      <c r="A407" s="24"/>
      <c r="E407" s="24"/>
      <c r="K407" s="9"/>
      <c r="M407" s="9"/>
    </row>
    <row r="408">
      <c r="A408" s="24"/>
      <c r="E408" s="24"/>
      <c r="K408" s="9"/>
      <c r="M408" s="9"/>
    </row>
    <row r="409">
      <c r="A409" s="24"/>
      <c r="E409" s="24"/>
      <c r="K409" s="9"/>
      <c r="M409" s="9"/>
    </row>
    <row r="410">
      <c r="A410" s="24"/>
      <c r="E410" s="24"/>
      <c r="K410" s="9"/>
      <c r="M410" s="9"/>
    </row>
    <row r="411">
      <c r="A411" s="24"/>
      <c r="E411" s="24"/>
      <c r="K411" s="9"/>
      <c r="M411" s="9"/>
    </row>
    <row r="412">
      <c r="A412" s="24"/>
      <c r="E412" s="24"/>
      <c r="K412" s="9"/>
      <c r="M412" s="9"/>
    </row>
    <row r="413">
      <c r="A413" s="24"/>
      <c r="E413" s="24"/>
      <c r="K413" s="9"/>
      <c r="M413" s="9"/>
    </row>
    <row r="414">
      <c r="A414" s="24"/>
      <c r="E414" s="24"/>
      <c r="K414" s="9"/>
      <c r="M414" s="9"/>
    </row>
    <row r="415">
      <c r="A415" s="24"/>
      <c r="E415" s="24"/>
      <c r="K415" s="9"/>
      <c r="M415" s="9"/>
    </row>
    <row r="416">
      <c r="A416" s="24"/>
      <c r="E416" s="24"/>
      <c r="K416" s="9"/>
      <c r="M416" s="9"/>
    </row>
    <row r="417">
      <c r="A417" s="24"/>
      <c r="E417" s="24"/>
      <c r="K417" s="9"/>
      <c r="M417" s="9"/>
    </row>
    <row r="418">
      <c r="A418" s="24"/>
      <c r="E418" s="24"/>
      <c r="K418" s="9"/>
      <c r="M418" s="9"/>
    </row>
    <row r="419">
      <c r="A419" s="24"/>
      <c r="E419" s="24"/>
      <c r="K419" s="9"/>
      <c r="M419" s="9"/>
    </row>
    <row r="420">
      <c r="A420" s="24"/>
      <c r="E420" s="24"/>
      <c r="K420" s="9"/>
      <c r="M420" s="9"/>
    </row>
    <row r="421">
      <c r="A421" s="24"/>
      <c r="E421" s="24"/>
      <c r="K421" s="9"/>
      <c r="M421" s="9"/>
    </row>
    <row r="422">
      <c r="A422" s="24"/>
      <c r="E422" s="24"/>
      <c r="K422" s="9"/>
      <c r="M422" s="9"/>
    </row>
    <row r="423">
      <c r="A423" s="24"/>
      <c r="E423" s="24"/>
      <c r="K423" s="9"/>
      <c r="M423" s="9"/>
    </row>
    <row r="424">
      <c r="A424" s="24"/>
      <c r="E424" s="24"/>
      <c r="K424" s="9"/>
      <c r="M424" s="9"/>
    </row>
    <row r="425">
      <c r="A425" s="24"/>
      <c r="E425" s="24"/>
      <c r="K425" s="9"/>
      <c r="M425" s="9"/>
    </row>
    <row r="426">
      <c r="A426" s="24"/>
      <c r="E426" s="24"/>
      <c r="K426" s="9"/>
      <c r="M426" s="9"/>
    </row>
    <row r="427">
      <c r="A427" s="24"/>
      <c r="E427" s="24"/>
      <c r="K427" s="9"/>
      <c r="M427" s="9"/>
    </row>
    <row r="428">
      <c r="A428" s="24"/>
      <c r="E428" s="24"/>
      <c r="K428" s="9"/>
      <c r="M428" s="9"/>
    </row>
    <row r="429">
      <c r="A429" s="24"/>
      <c r="E429" s="24"/>
      <c r="K429" s="9"/>
      <c r="M429" s="9"/>
    </row>
    <row r="430">
      <c r="A430" s="24"/>
      <c r="E430" s="24"/>
      <c r="K430" s="9"/>
      <c r="M430" s="9"/>
    </row>
    <row r="431">
      <c r="A431" s="24"/>
      <c r="E431" s="24"/>
      <c r="K431" s="9"/>
      <c r="M431" s="9"/>
    </row>
    <row r="432">
      <c r="A432" s="24"/>
      <c r="E432" s="24"/>
      <c r="K432" s="9"/>
      <c r="M432" s="9"/>
    </row>
    <row r="433">
      <c r="A433" s="24"/>
      <c r="E433" s="24"/>
      <c r="K433" s="9"/>
      <c r="M433" s="9"/>
    </row>
    <row r="434">
      <c r="A434" s="24"/>
      <c r="E434" s="24"/>
      <c r="K434" s="9"/>
      <c r="M434" s="9"/>
    </row>
    <row r="435">
      <c r="A435" s="24"/>
      <c r="E435" s="24"/>
      <c r="K435" s="9"/>
      <c r="M435" s="9"/>
    </row>
    <row r="436">
      <c r="A436" s="24"/>
      <c r="E436" s="24"/>
      <c r="K436" s="9"/>
      <c r="M436" s="9"/>
    </row>
    <row r="437">
      <c r="A437" s="24"/>
      <c r="E437" s="24"/>
      <c r="K437" s="9"/>
      <c r="M437" s="9"/>
    </row>
    <row r="438">
      <c r="A438" s="24"/>
      <c r="E438" s="24"/>
      <c r="K438" s="9"/>
      <c r="M438" s="9"/>
    </row>
    <row r="439">
      <c r="A439" s="24"/>
      <c r="E439" s="24"/>
      <c r="K439" s="9"/>
      <c r="M439" s="9"/>
    </row>
    <row r="440">
      <c r="A440" s="24"/>
      <c r="E440" s="24"/>
      <c r="K440" s="9"/>
      <c r="M440" s="9"/>
    </row>
    <row r="441">
      <c r="A441" s="24"/>
      <c r="E441" s="24"/>
      <c r="K441" s="9"/>
      <c r="M441" s="9"/>
    </row>
    <row r="442">
      <c r="A442" s="24"/>
      <c r="E442" s="24"/>
      <c r="K442" s="9"/>
      <c r="M442" s="9"/>
    </row>
    <row r="443">
      <c r="A443" s="24"/>
      <c r="E443" s="24"/>
      <c r="K443" s="9"/>
      <c r="M443" s="9"/>
    </row>
    <row r="444">
      <c r="A444" s="24"/>
      <c r="E444" s="24"/>
      <c r="K444" s="9"/>
      <c r="M444" s="9"/>
    </row>
    <row r="445">
      <c r="A445" s="24"/>
      <c r="E445" s="24"/>
      <c r="K445" s="9"/>
      <c r="M445" s="9"/>
    </row>
    <row r="446">
      <c r="A446" s="24"/>
      <c r="E446" s="24"/>
      <c r="K446" s="9"/>
      <c r="M446" s="9"/>
    </row>
    <row r="447">
      <c r="A447" s="24"/>
      <c r="E447" s="24"/>
      <c r="K447" s="9"/>
      <c r="M447" s="9"/>
    </row>
    <row r="448">
      <c r="A448" s="24"/>
      <c r="E448" s="24"/>
      <c r="K448" s="9"/>
      <c r="M448" s="9"/>
    </row>
    <row r="449">
      <c r="A449" s="24"/>
      <c r="E449" s="24"/>
      <c r="K449" s="9"/>
      <c r="M449" s="9"/>
    </row>
    <row r="450">
      <c r="A450" s="24"/>
      <c r="E450" s="24"/>
      <c r="K450" s="9"/>
      <c r="M450" s="9"/>
    </row>
    <row r="451">
      <c r="A451" s="24"/>
      <c r="E451" s="24"/>
      <c r="K451" s="9"/>
      <c r="M451" s="9"/>
    </row>
    <row r="452">
      <c r="A452" s="24"/>
      <c r="E452" s="24"/>
      <c r="K452" s="9"/>
      <c r="M452" s="9"/>
    </row>
    <row r="453">
      <c r="A453" s="24"/>
      <c r="E453" s="24"/>
      <c r="K453" s="9"/>
      <c r="M453" s="9"/>
    </row>
    <row r="454">
      <c r="A454" s="24"/>
      <c r="E454" s="24"/>
      <c r="K454" s="9"/>
      <c r="M454" s="9"/>
    </row>
    <row r="455">
      <c r="A455" s="24"/>
      <c r="E455" s="24"/>
      <c r="K455" s="9"/>
      <c r="M455" s="9"/>
    </row>
    <row r="456">
      <c r="A456" s="24"/>
      <c r="E456" s="24"/>
      <c r="K456" s="9"/>
      <c r="M456" s="9"/>
    </row>
    <row r="457">
      <c r="A457" s="24"/>
      <c r="E457" s="24"/>
      <c r="K457" s="9"/>
      <c r="M457" s="9"/>
    </row>
    <row r="458">
      <c r="A458" s="24"/>
      <c r="E458" s="24"/>
      <c r="K458" s="9"/>
      <c r="M458" s="9"/>
    </row>
    <row r="459">
      <c r="A459" s="24"/>
      <c r="E459" s="24"/>
      <c r="K459" s="9"/>
      <c r="M459" s="9"/>
    </row>
    <row r="460">
      <c r="A460" s="24"/>
      <c r="E460" s="24"/>
      <c r="K460" s="9"/>
      <c r="M460" s="9"/>
    </row>
    <row r="461">
      <c r="A461" s="24"/>
      <c r="E461" s="24"/>
      <c r="K461" s="9"/>
      <c r="M461" s="9"/>
    </row>
    <row r="462">
      <c r="A462" s="24"/>
      <c r="E462" s="24"/>
      <c r="K462" s="9"/>
      <c r="M462" s="9"/>
    </row>
    <row r="463">
      <c r="A463" s="24"/>
      <c r="E463" s="24"/>
      <c r="K463" s="9"/>
      <c r="M463" s="9"/>
    </row>
    <row r="464">
      <c r="A464" s="24"/>
      <c r="E464" s="24"/>
      <c r="K464" s="9"/>
      <c r="M464" s="9"/>
    </row>
    <row r="465">
      <c r="A465" s="24"/>
      <c r="E465" s="24"/>
      <c r="K465" s="9"/>
      <c r="M465" s="9"/>
    </row>
    <row r="466">
      <c r="A466" s="24"/>
      <c r="E466" s="24"/>
      <c r="K466" s="9"/>
      <c r="M466" s="9"/>
    </row>
    <row r="467">
      <c r="A467" s="24"/>
      <c r="E467" s="24"/>
      <c r="K467" s="9"/>
      <c r="M467" s="9"/>
    </row>
    <row r="468">
      <c r="A468" s="24"/>
      <c r="E468" s="24"/>
      <c r="K468" s="9"/>
      <c r="M468" s="9"/>
    </row>
    <row r="469">
      <c r="A469" s="24"/>
      <c r="E469" s="24"/>
      <c r="K469" s="9"/>
      <c r="M469" s="9"/>
    </row>
    <row r="470">
      <c r="A470" s="24"/>
      <c r="E470" s="24"/>
      <c r="K470" s="9"/>
      <c r="M470" s="9"/>
    </row>
    <row r="471">
      <c r="A471" s="24"/>
      <c r="E471" s="24"/>
      <c r="K471" s="9"/>
      <c r="M471" s="9"/>
    </row>
    <row r="472">
      <c r="A472" s="24"/>
      <c r="E472" s="24"/>
      <c r="K472" s="9"/>
      <c r="M472" s="9"/>
    </row>
    <row r="473">
      <c r="A473" s="24"/>
      <c r="E473" s="24"/>
      <c r="K473" s="9"/>
      <c r="M473" s="9"/>
    </row>
    <row r="474">
      <c r="A474" s="24"/>
      <c r="E474" s="24"/>
      <c r="K474" s="9"/>
      <c r="M474" s="9"/>
    </row>
    <row r="475">
      <c r="A475" s="24"/>
      <c r="E475" s="24"/>
      <c r="K475" s="9"/>
      <c r="M475" s="9"/>
    </row>
    <row r="476">
      <c r="A476" s="24"/>
      <c r="E476" s="24"/>
      <c r="K476" s="9"/>
      <c r="M476" s="9"/>
    </row>
    <row r="477">
      <c r="A477" s="24"/>
      <c r="E477" s="24"/>
      <c r="K477" s="9"/>
      <c r="M477" s="9"/>
    </row>
    <row r="478">
      <c r="A478" s="24"/>
      <c r="E478" s="24"/>
      <c r="K478" s="9"/>
      <c r="M478" s="9"/>
    </row>
    <row r="479">
      <c r="A479" s="24"/>
      <c r="E479" s="24"/>
      <c r="K479" s="9"/>
      <c r="M479" s="9"/>
    </row>
    <row r="480">
      <c r="A480" s="24"/>
      <c r="E480" s="24"/>
      <c r="K480" s="9"/>
      <c r="M480" s="9"/>
    </row>
    <row r="481">
      <c r="A481" s="24"/>
      <c r="E481" s="24"/>
      <c r="K481" s="9"/>
      <c r="M481" s="9"/>
    </row>
    <row r="482">
      <c r="A482" s="24"/>
      <c r="E482" s="24"/>
      <c r="K482" s="9"/>
      <c r="M482" s="9"/>
    </row>
    <row r="483">
      <c r="A483" s="24"/>
      <c r="E483" s="24"/>
      <c r="K483" s="9"/>
      <c r="M483" s="9"/>
    </row>
    <row r="484">
      <c r="A484" s="24"/>
      <c r="E484" s="24"/>
      <c r="K484" s="9"/>
      <c r="M484" s="9"/>
    </row>
    <row r="485">
      <c r="A485" s="24"/>
      <c r="E485" s="24"/>
      <c r="K485" s="9"/>
      <c r="M485" s="9"/>
    </row>
    <row r="486">
      <c r="A486" s="24"/>
      <c r="E486" s="24"/>
      <c r="K486" s="9"/>
      <c r="M486" s="9"/>
    </row>
    <row r="487">
      <c r="A487" s="24"/>
      <c r="E487" s="24"/>
      <c r="K487" s="9"/>
      <c r="M487" s="9"/>
    </row>
    <row r="488">
      <c r="A488" s="24"/>
      <c r="E488" s="24"/>
      <c r="K488" s="9"/>
      <c r="M488" s="9"/>
    </row>
    <row r="489">
      <c r="A489" s="24"/>
      <c r="E489" s="24"/>
      <c r="K489" s="9"/>
      <c r="M489" s="9"/>
    </row>
    <row r="490">
      <c r="A490" s="24"/>
      <c r="E490" s="24"/>
      <c r="K490" s="9"/>
      <c r="M490" s="9"/>
    </row>
    <row r="491">
      <c r="A491" s="24"/>
      <c r="E491" s="24"/>
      <c r="K491" s="9"/>
      <c r="M491" s="9"/>
    </row>
    <row r="492">
      <c r="A492" s="24"/>
      <c r="E492" s="24"/>
      <c r="K492" s="9"/>
      <c r="M492" s="9"/>
    </row>
    <row r="493">
      <c r="A493" s="24"/>
      <c r="E493" s="24"/>
      <c r="K493" s="9"/>
      <c r="M493" s="9"/>
    </row>
    <row r="494">
      <c r="A494" s="24"/>
      <c r="E494" s="24"/>
      <c r="K494" s="9"/>
      <c r="M494" s="9"/>
    </row>
    <row r="495">
      <c r="A495" s="24"/>
      <c r="E495" s="24"/>
      <c r="K495" s="9"/>
      <c r="M495" s="9"/>
    </row>
    <row r="496">
      <c r="A496" s="24"/>
      <c r="E496" s="24"/>
      <c r="K496" s="9"/>
      <c r="M496" s="9"/>
    </row>
    <row r="497">
      <c r="A497" s="24"/>
      <c r="E497" s="24"/>
      <c r="K497" s="9"/>
      <c r="M497" s="9"/>
    </row>
    <row r="498">
      <c r="A498" s="24"/>
      <c r="E498" s="24"/>
      <c r="K498" s="9"/>
      <c r="M498" s="9"/>
    </row>
    <row r="499">
      <c r="A499" s="24"/>
      <c r="E499" s="24"/>
      <c r="K499" s="9"/>
      <c r="M499" s="9"/>
    </row>
    <row r="500">
      <c r="A500" s="24"/>
      <c r="E500" s="24"/>
      <c r="K500" s="9"/>
      <c r="M500" s="9"/>
    </row>
    <row r="501">
      <c r="A501" s="24"/>
      <c r="E501" s="24"/>
      <c r="K501" s="9"/>
      <c r="M501" s="9"/>
    </row>
    <row r="502">
      <c r="A502" s="24"/>
      <c r="E502" s="24"/>
      <c r="K502" s="9"/>
      <c r="M502" s="9"/>
    </row>
    <row r="503">
      <c r="A503" s="24"/>
      <c r="E503" s="24"/>
      <c r="K503" s="9"/>
      <c r="M503" s="9"/>
    </row>
    <row r="504">
      <c r="A504" s="24"/>
      <c r="E504" s="24"/>
      <c r="K504" s="9"/>
      <c r="M504" s="9"/>
    </row>
    <row r="505">
      <c r="A505" s="24"/>
      <c r="E505" s="24"/>
      <c r="K505" s="9"/>
      <c r="M505" s="9"/>
    </row>
    <row r="506">
      <c r="A506" s="24"/>
      <c r="E506" s="24"/>
      <c r="K506" s="9"/>
      <c r="M506" s="9"/>
    </row>
    <row r="507">
      <c r="A507" s="24"/>
      <c r="E507" s="24"/>
      <c r="K507" s="9"/>
      <c r="M507" s="9"/>
    </row>
    <row r="508">
      <c r="A508" s="24"/>
      <c r="E508" s="24"/>
      <c r="K508" s="9"/>
      <c r="M508" s="9"/>
    </row>
    <row r="509">
      <c r="A509" s="24"/>
      <c r="E509" s="24"/>
      <c r="K509" s="9"/>
      <c r="M509" s="9"/>
    </row>
    <row r="510">
      <c r="A510" s="24"/>
      <c r="E510" s="24"/>
      <c r="K510" s="9"/>
      <c r="M510" s="9"/>
    </row>
    <row r="511">
      <c r="A511" s="24"/>
      <c r="E511" s="24"/>
      <c r="K511" s="9"/>
      <c r="M511" s="9"/>
    </row>
    <row r="512">
      <c r="A512" s="24"/>
      <c r="E512" s="24"/>
      <c r="K512" s="9"/>
      <c r="M512" s="9"/>
    </row>
    <row r="513">
      <c r="A513" s="24"/>
      <c r="E513" s="24"/>
      <c r="K513" s="9"/>
      <c r="M513" s="9"/>
    </row>
    <row r="514">
      <c r="A514" s="24"/>
      <c r="E514" s="24"/>
      <c r="K514" s="9"/>
      <c r="M514" s="9"/>
    </row>
    <row r="515">
      <c r="A515" s="24"/>
      <c r="E515" s="24"/>
      <c r="K515" s="9"/>
      <c r="M515" s="9"/>
    </row>
    <row r="516">
      <c r="A516" s="24"/>
      <c r="E516" s="24"/>
      <c r="K516" s="9"/>
      <c r="M516" s="9"/>
    </row>
    <row r="517">
      <c r="A517" s="24"/>
      <c r="E517" s="24"/>
      <c r="K517" s="9"/>
      <c r="M517" s="9"/>
    </row>
    <row r="518">
      <c r="A518" s="24"/>
      <c r="E518" s="24"/>
      <c r="K518" s="9"/>
      <c r="M518" s="9"/>
    </row>
    <row r="519">
      <c r="A519" s="24"/>
      <c r="E519" s="24"/>
      <c r="K519" s="9"/>
      <c r="M519" s="9"/>
    </row>
    <row r="520">
      <c r="A520" s="24"/>
      <c r="E520" s="24"/>
      <c r="K520" s="9"/>
      <c r="M520" s="9"/>
    </row>
    <row r="521">
      <c r="A521" s="24"/>
      <c r="E521" s="24"/>
      <c r="K521" s="9"/>
      <c r="M521" s="9"/>
    </row>
    <row r="522">
      <c r="A522" s="24"/>
      <c r="E522" s="24"/>
      <c r="K522" s="9"/>
      <c r="M522" s="9"/>
    </row>
    <row r="523">
      <c r="A523" s="24"/>
      <c r="E523" s="24"/>
      <c r="K523" s="9"/>
      <c r="M523" s="9"/>
    </row>
    <row r="524">
      <c r="A524" s="24"/>
      <c r="E524" s="24"/>
      <c r="K524" s="9"/>
      <c r="M524" s="9"/>
    </row>
    <row r="525">
      <c r="A525" s="24"/>
      <c r="E525" s="24"/>
      <c r="K525" s="9"/>
      <c r="M525" s="9"/>
    </row>
    <row r="526">
      <c r="A526" s="24"/>
      <c r="E526" s="24"/>
      <c r="K526" s="9"/>
      <c r="M526" s="9"/>
    </row>
    <row r="527">
      <c r="A527" s="24"/>
      <c r="E527" s="24"/>
      <c r="K527" s="9"/>
      <c r="M527" s="9"/>
    </row>
    <row r="528">
      <c r="A528" s="24"/>
      <c r="E528" s="24"/>
      <c r="K528" s="9"/>
      <c r="M528" s="9"/>
    </row>
    <row r="529">
      <c r="A529" s="24"/>
      <c r="E529" s="24"/>
      <c r="K529" s="9"/>
      <c r="M529" s="9"/>
    </row>
    <row r="530">
      <c r="A530" s="24"/>
      <c r="E530" s="24"/>
      <c r="K530" s="9"/>
      <c r="M530" s="9"/>
    </row>
    <row r="531">
      <c r="A531" s="24"/>
      <c r="E531" s="24"/>
      <c r="K531" s="9"/>
      <c r="M531" s="9"/>
    </row>
    <row r="532">
      <c r="A532" s="24"/>
      <c r="E532" s="24"/>
      <c r="K532" s="9"/>
      <c r="M532" s="9"/>
    </row>
    <row r="533">
      <c r="A533" s="24"/>
      <c r="E533" s="24"/>
      <c r="K533" s="9"/>
      <c r="M533" s="9"/>
    </row>
    <row r="534">
      <c r="A534" s="24"/>
      <c r="E534" s="24"/>
      <c r="K534" s="9"/>
      <c r="M534" s="9"/>
    </row>
    <row r="535">
      <c r="A535" s="24"/>
      <c r="E535" s="24"/>
      <c r="K535" s="9"/>
      <c r="M535" s="9"/>
    </row>
    <row r="536">
      <c r="A536" s="24"/>
      <c r="E536" s="24"/>
      <c r="K536" s="9"/>
      <c r="M536" s="9"/>
    </row>
    <row r="537">
      <c r="A537" s="24"/>
      <c r="E537" s="24"/>
      <c r="K537" s="9"/>
      <c r="M537" s="9"/>
    </row>
    <row r="538">
      <c r="A538" s="24"/>
      <c r="E538" s="24"/>
      <c r="K538" s="9"/>
      <c r="M538" s="9"/>
    </row>
    <row r="539">
      <c r="A539" s="24"/>
      <c r="E539" s="24"/>
      <c r="K539" s="9"/>
      <c r="M539" s="9"/>
    </row>
    <row r="540">
      <c r="A540" s="24"/>
      <c r="E540" s="24"/>
      <c r="K540" s="9"/>
      <c r="M540" s="9"/>
    </row>
    <row r="541">
      <c r="A541" s="24"/>
      <c r="E541" s="24"/>
      <c r="K541" s="9"/>
      <c r="M541" s="9"/>
    </row>
    <row r="542">
      <c r="A542" s="24"/>
      <c r="E542" s="24"/>
      <c r="K542" s="9"/>
      <c r="M542" s="9"/>
    </row>
    <row r="543">
      <c r="A543" s="24"/>
      <c r="E543" s="24"/>
      <c r="K543" s="9"/>
      <c r="M543" s="9"/>
    </row>
    <row r="544">
      <c r="A544" s="24"/>
      <c r="E544" s="24"/>
      <c r="K544" s="9"/>
      <c r="M544" s="9"/>
    </row>
    <row r="545">
      <c r="A545" s="24"/>
      <c r="E545" s="24"/>
      <c r="K545" s="9"/>
      <c r="M545" s="9"/>
    </row>
    <row r="546">
      <c r="A546" s="24"/>
      <c r="E546" s="24"/>
      <c r="K546" s="9"/>
      <c r="M546" s="9"/>
    </row>
    <row r="547">
      <c r="A547" s="24"/>
      <c r="E547" s="24"/>
      <c r="K547" s="9"/>
      <c r="M547" s="9"/>
    </row>
    <row r="548">
      <c r="A548" s="24"/>
      <c r="E548" s="24"/>
      <c r="K548" s="9"/>
      <c r="M548" s="9"/>
    </row>
    <row r="549">
      <c r="A549" s="24"/>
      <c r="E549" s="24"/>
      <c r="K549" s="9"/>
      <c r="M549" s="9"/>
    </row>
    <row r="550">
      <c r="A550" s="24"/>
      <c r="E550" s="24"/>
      <c r="K550" s="9"/>
      <c r="M550" s="9"/>
    </row>
    <row r="551">
      <c r="A551" s="24"/>
      <c r="E551" s="24"/>
      <c r="K551" s="9"/>
      <c r="M551" s="9"/>
    </row>
    <row r="552">
      <c r="A552" s="24"/>
      <c r="E552" s="24"/>
      <c r="K552" s="9"/>
      <c r="M552" s="9"/>
    </row>
    <row r="553">
      <c r="A553" s="24"/>
      <c r="E553" s="24"/>
      <c r="K553" s="9"/>
      <c r="M553" s="9"/>
    </row>
    <row r="554">
      <c r="A554" s="24"/>
      <c r="E554" s="24"/>
      <c r="K554" s="9"/>
      <c r="M554" s="9"/>
    </row>
    <row r="555">
      <c r="A555" s="24"/>
      <c r="E555" s="24"/>
      <c r="K555" s="9"/>
      <c r="M555" s="9"/>
    </row>
    <row r="556">
      <c r="A556" s="24"/>
      <c r="E556" s="24"/>
      <c r="K556" s="9"/>
      <c r="M556" s="9"/>
    </row>
    <row r="557">
      <c r="A557" s="24"/>
      <c r="E557" s="24"/>
      <c r="K557" s="9"/>
      <c r="M557" s="9"/>
    </row>
    <row r="558">
      <c r="A558" s="24"/>
      <c r="E558" s="24"/>
      <c r="K558" s="9"/>
      <c r="M558" s="9"/>
    </row>
    <row r="559">
      <c r="A559" s="24"/>
      <c r="E559" s="24"/>
      <c r="K559" s="9"/>
      <c r="M559" s="9"/>
    </row>
    <row r="560">
      <c r="A560" s="24"/>
      <c r="E560" s="24"/>
      <c r="K560" s="9"/>
      <c r="M560" s="9"/>
    </row>
    <row r="561">
      <c r="A561" s="24"/>
      <c r="E561" s="24"/>
      <c r="K561" s="9"/>
      <c r="M561" s="9"/>
    </row>
    <row r="562">
      <c r="A562" s="24"/>
      <c r="E562" s="24"/>
      <c r="K562" s="9"/>
      <c r="M562" s="9"/>
    </row>
    <row r="563">
      <c r="A563" s="24"/>
      <c r="E563" s="24"/>
      <c r="K563" s="9"/>
      <c r="M563" s="9"/>
    </row>
    <row r="564">
      <c r="A564" s="24"/>
      <c r="E564" s="24"/>
      <c r="K564" s="9"/>
      <c r="M564" s="9"/>
    </row>
    <row r="565">
      <c r="A565" s="24"/>
      <c r="E565" s="24"/>
      <c r="K565" s="9"/>
      <c r="M565" s="9"/>
    </row>
    <row r="566">
      <c r="A566" s="24"/>
      <c r="E566" s="24"/>
      <c r="K566" s="9"/>
      <c r="M566" s="9"/>
    </row>
    <row r="567">
      <c r="A567" s="24"/>
      <c r="E567" s="24"/>
      <c r="K567" s="9"/>
      <c r="M567" s="9"/>
    </row>
    <row r="568">
      <c r="A568" s="24"/>
      <c r="E568" s="24"/>
      <c r="K568" s="9"/>
      <c r="M568" s="9"/>
    </row>
    <row r="569">
      <c r="A569" s="24"/>
      <c r="E569" s="24"/>
      <c r="K569" s="9"/>
      <c r="M569" s="9"/>
    </row>
    <row r="570">
      <c r="A570" s="24"/>
      <c r="E570" s="24"/>
      <c r="K570" s="9"/>
      <c r="M570" s="9"/>
    </row>
    <row r="571">
      <c r="A571" s="24"/>
      <c r="E571" s="24"/>
      <c r="K571" s="9"/>
      <c r="M571" s="9"/>
    </row>
    <row r="572">
      <c r="A572" s="24"/>
      <c r="E572" s="24"/>
      <c r="K572" s="9"/>
      <c r="M572" s="9"/>
    </row>
    <row r="573">
      <c r="A573" s="24"/>
      <c r="E573" s="24"/>
      <c r="K573" s="9"/>
      <c r="M573" s="9"/>
    </row>
    <row r="574">
      <c r="A574" s="24"/>
      <c r="E574" s="24"/>
      <c r="K574" s="9"/>
      <c r="M574" s="9"/>
    </row>
    <row r="575">
      <c r="A575" s="24"/>
      <c r="E575" s="24"/>
      <c r="K575" s="9"/>
      <c r="M575" s="9"/>
    </row>
    <row r="576">
      <c r="A576" s="24"/>
      <c r="E576" s="24"/>
      <c r="K576" s="9"/>
      <c r="M576" s="9"/>
    </row>
    <row r="577">
      <c r="A577" s="24"/>
      <c r="E577" s="24"/>
      <c r="K577" s="9"/>
      <c r="M577" s="9"/>
    </row>
    <row r="578">
      <c r="A578" s="24"/>
      <c r="E578" s="24"/>
      <c r="K578" s="9"/>
      <c r="M578" s="9"/>
    </row>
    <row r="579">
      <c r="A579" s="24"/>
      <c r="E579" s="24"/>
      <c r="K579" s="9"/>
      <c r="M579" s="9"/>
    </row>
    <row r="580">
      <c r="A580" s="24"/>
      <c r="E580" s="24"/>
      <c r="K580" s="9"/>
      <c r="M580" s="9"/>
    </row>
    <row r="581">
      <c r="A581" s="24"/>
      <c r="E581" s="24"/>
      <c r="K581" s="9"/>
      <c r="M581" s="9"/>
    </row>
    <row r="582">
      <c r="A582" s="24"/>
      <c r="E582" s="24"/>
      <c r="K582" s="9"/>
      <c r="M582" s="9"/>
    </row>
    <row r="583">
      <c r="A583" s="24"/>
      <c r="E583" s="24"/>
      <c r="K583" s="9"/>
      <c r="M583" s="9"/>
    </row>
    <row r="584">
      <c r="A584" s="24"/>
      <c r="E584" s="24"/>
      <c r="K584" s="9"/>
      <c r="M584" s="9"/>
    </row>
    <row r="585">
      <c r="A585" s="24"/>
      <c r="E585" s="24"/>
      <c r="K585" s="9"/>
      <c r="M585" s="9"/>
    </row>
    <row r="586">
      <c r="A586" s="24"/>
      <c r="E586" s="24"/>
      <c r="K586" s="9"/>
      <c r="M586" s="9"/>
    </row>
    <row r="587">
      <c r="A587" s="24"/>
      <c r="E587" s="24"/>
      <c r="K587" s="9"/>
      <c r="M587" s="9"/>
    </row>
    <row r="588">
      <c r="A588" s="24"/>
      <c r="E588" s="24"/>
      <c r="K588" s="9"/>
      <c r="M588" s="9"/>
    </row>
    <row r="589">
      <c r="A589" s="24"/>
      <c r="E589" s="24"/>
      <c r="K589" s="9"/>
      <c r="M589" s="9"/>
    </row>
    <row r="590">
      <c r="A590" s="24"/>
      <c r="E590" s="24"/>
      <c r="K590" s="9"/>
      <c r="M590" s="9"/>
    </row>
    <row r="591">
      <c r="A591" s="24"/>
      <c r="E591" s="24"/>
      <c r="K591" s="9"/>
      <c r="M591" s="9"/>
    </row>
    <row r="592">
      <c r="A592" s="24"/>
      <c r="E592" s="24"/>
      <c r="K592" s="9"/>
      <c r="M592" s="9"/>
    </row>
    <row r="593">
      <c r="A593" s="24"/>
      <c r="E593" s="24"/>
      <c r="K593" s="9"/>
      <c r="M593" s="9"/>
    </row>
    <row r="594">
      <c r="A594" s="24"/>
      <c r="E594" s="24"/>
      <c r="K594" s="9"/>
      <c r="M594" s="9"/>
    </row>
    <row r="595">
      <c r="A595" s="24"/>
      <c r="E595" s="24"/>
      <c r="K595" s="9"/>
      <c r="M595" s="9"/>
    </row>
    <row r="596">
      <c r="A596" s="24"/>
      <c r="E596" s="24"/>
      <c r="K596" s="9"/>
      <c r="M596" s="9"/>
    </row>
    <row r="597">
      <c r="A597" s="24"/>
      <c r="E597" s="24"/>
      <c r="K597" s="9"/>
      <c r="M597" s="9"/>
    </row>
    <row r="598">
      <c r="A598" s="24"/>
      <c r="E598" s="24"/>
      <c r="K598" s="9"/>
      <c r="M598" s="9"/>
    </row>
    <row r="599">
      <c r="A599" s="24"/>
      <c r="E599" s="24"/>
      <c r="K599" s="9"/>
      <c r="M599" s="9"/>
    </row>
    <row r="600">
      <c r="A600" s="24"/>
      <c r="E600" s="24"/>
      <c r="K600" s="9"/>
      <c r="M600" s="9"/>
    </row>
    <row r="601">
      <c r="A601" s="24"/>
      <c r="E601" s="24"/>
      <c r="K601" s="9"/>
      <c r="M601" s="9"/>
    </row>
    <row r="602">
      <c r="A602" s="24"/>
      <c r="E602" s="24"/>
      <c r="K602" s="9"/>
      <c r="M602" s="9"/>
    </row>
    <row r="603">
      <c r="A603" s="24"/>
      <c r="E603" s="24"/>
      <c r="K603" s="9"/>
      <c r="M603" s="9"/>
    </row>
    <row r="604">
      <c r="A604" s="24"/>
      <c r="E604" s="24"/>
      <c r="K604" s="9"/>
      <c r="M604" s="9"/>
    </row>
    <row r="605">
      <c r="A605" s="24"/>
      <c r="E605" s="24"/>
      <c r="K605" s="9"/>
      <c r="M605" s="9"/>
    </row>
    <row r="606">
      <c r="A606" s="24"/>
      <c r="E606" s="24"/>
      <c r="K606" s="9"/>
      <c r="M606" s="9"/>
    </row>
    <row r="607">
      <c r="A607" s="24"/>
      <c r="E607" s="24"/>
      <c r="K607" s="9"/>
      <c r="M607" s="9"/>
    </row>
    <row r="608">
      <c r="A608" s="24"/>
      <c r="E608" s="24"/>
      <c r="K608" s="9"/>
      <c r="M608" s="9"/>
    </row>
    <row r="609">
      <c r="A609" s="24"/>
      <c r="E609" s="24"/>
      <c r="K609" s="9"/>
      <c r="M609" s="9"/>
    </row>
    <row r="610">
      <c r="A610" s="24"/>
      <c r="E610" s="24"/>
      <c r="K610" s="9"/>
      <c r="M610" s="9"/>
    </row>
    <row r="611">
      <c r="A611" s="24"/>
      <c r="E611" s="24"/>
      <c r="K611" s="9"/>
      <c r="M611" s="9"/>
    </row>
    <row r="612">
      <c r="A612" s="24"/>
      <c r="E612" s="24"/>
      <c r="K612" s="9"/>
      <c r="M612" s="9"/>
    </row>
    <row r="613">
      <c r="A613" s="24"/>
      <c r="E613" s="24"/>
      <c r="K613" s="9"/>
      <c r="M613" s="9"/>
    </row>
    <row r="614">
      <c r="A614" s="24"/>
      <c r="E614" s="24"/>
      <c r="K614" s="9"/>
      <c r="M614" s="9"/>
    </row>
    <row r="615">
      <c r="A615" s="24"/>
      <c r="E615" s="24"/>
      <c r="K615" s="9"/>
      <c r="M615" s="9"/>
    </row>
    <row r="616">
      <c r="A616" s="24"/>
      <c r="E616" s="24"/>
      <c r="K616" s="9"/>
      <c r="M616" s="9"/>
    </row>
    <row r="617">
      <c r="A617" s="24"/>
      <c r="E617" s="24"/>
      <c r="K617" s="9"/>
      <c r="M617" s="9"/>
    </row>
    <row r="618">
      <c r="A618" s="24"/>
      <c r="E618" s="24"/>
      <c r="K618" s="9"/>
      <c r="M618" s="9"/>
    </row>
    <row r="619">
      <c r="A619" s="24"/>
      <c r="E619" s="24"/>
      <c r="K619" s="9"/>
      <c r="M619" s="9"/>
    </row>
    <row r="620">
      <c r="A620" s="24"/>
      <c r="E620" s="24"/>
      <c r="K620" s="9"/>
      <c r="M620" s="9"/>
    </row>
    <row r="621">
      <c r="A621" s="24"/>
      <c r="E621" s="24"/>
      <c r="K621" s="9"/>
      <c r="M621" s="9"/>
    </row>
    <row r="622">
      <c r="A622" s="24"/>
      <c r="E622" s="24"/>
      <c r="K622" s="9"/>
      <c r="M622" s="9"/>
    </row>
    <row r="623">
      <c r="A623" s="24"/>
      <c r="E623" s="24"/>
      <c r="K623" s="9"/>
      <c r="M623" s="9"/>
    </row>
    <row r="624">
      <c r="A624" s="24"/>
      <c r="E624" s="24"/>
      <c r="K624" s="9"/>
      <c r="M624" s="9"/>
    </row>
    <row r="625">
      <c r="A625" s="24"/>
      <c r="E625" s="24"/>
      <c r="K625" s="9"/>
      <c r="M625" s="9"/>
    </row>
    <row r="626">
      <c r="A626" s="24"/>
      <c r="E626" s="24"/>
      <c r="K626" s="9"/>
      <c r="M626" s="9"/>
    </row>
    <row r="627">
      <c r="A627" s="24"/>
      <c r="E627" s="24"/>
      <c r="K627" s="9"/>
      <c r="M627" s="9"/>
    </row>
    <row r="628">
      <c r="A628" s="24"/>
      <c r="E628" s="24"/>
      <c r="K628" s="9"/>
      <c r="M628" s="9"/>
    </row>
    <row r="629">
      <c r="A629" s="24"/>
      <c r="E629" s="24"/>
      <c r="K629" s="9"/>
      <c r="M629" s="9"/>
    </row>
    <row r="630">
      <c r="A630" s="24"/>
      <c r="E630" s="24"/>
      <c r="K630" s="9"/>
      <c r="M630" s="9"/>
    </row>
    <row r="631">
      <c r="A631" s="24"/>
      <c r="E631" s="24"/>
      <c r="K631" s="9"/>
      <c r="M631" s="9"/>
    </row>
    <row r="632">
      <c r="A632" s="24"/>
      <c r="E632" s="24"/>
      <c r="K632" s="9"/>
      <c r="M632" s="9"/>
    </row>
    <row r="633">
      <c r="A633" s="24"/>
      <c r="E633" s="24"/>
      <c r="K633" s="9"/>
      <c r="M633" s="9"/>
    </row>
    <row r="634">
      <c r="A634" s="24"/>
      <c r="E634" s="24"/>
      <c r="K634" s="9"/>
      <c r="M634" s="9"/>
    </row>
    <row r="635">
      <c r="A635" s="24"/>
      <c r="E635" s="24"/>
      <c r="K635" s="9"/>
      <c r="M635" s="9"/>
    </row>
    <row r="636">
      <c r="A636" s="24"/>
      <c r="E636" s="24"/>
      <c r="K636" s="9"/>
      <c r="M636" s="9"/>
    </row>
    <row r="637">
      <c r="A637" s="24"/>
      <c r="E637" s="24"/>
      <c r="K637" s="9"/>
      <c r="M637" s="9"/>
    </row>
    <row r="638">
      <c r="A638" s="24"/>
      <c r="E638" s="24"/>
      <c r="K638" s="9"/>
      <c r="M638" s="9"/>
    </row>
    <row r="639">
      <c r="A639" s="24"/>
      <c r="E639" s="24"/>
      <c r="K639" s="9"/>
      <c r="M639" s="9"/>
    </row>
    <row r="640">
      <c r="A640" s="24"/>
      <c r="E640" s="24"/>
      <c r="K640" s="9"/>
      <c r="M640" s="9"/>
    </row>
    <row r="641">
      <c r="A641" s="24"/>
      <c r="E641" s="24"/>
      <c r="K641" s="9"/>
      <c r="M641" s="9"/>
    </row>
    <row r="642">
      <c r="A642" s="24"/>
      <c r="E642" s="24"/>
      <c r="K642" s="9"/>
      <c r="M642" s="9"/>
    </row>
    <row r="643">
      <c r="A643" s="24"/>
      <c r="E643" s="24"/>
      <c r="K643" s="9"/>
      <c r="M643" s="9"/>
    </row>
    <row r="644">
      <c r="A644" s="24"/>
      <c r="E644" s="24"/>
      <c r="K644" s="9"/>
      <c r="M644" s="9"/>
    </row>
    <row r="645">
      <c r="A645" s="24"/>
      <c r="E645" s="24"/>
      <c r="K645" s="9"/>
      <c r="M645" s="9"/>
    </row>
    <row r="646">
      <c r="A646" s="24"/>
      <c r="E646" s="24"/>
      <c r="K646" s="9"/>
      <c r="M646" s="9"/>
    </row>
    <row r="647">
      <c r="A647" s="24"/>
      <c r="E647" s="24"/>
      <c r="K647" s="9"/>
      <c r="M647" s="9"/>
    </row>
    <row r="648">
      <c r="A648" s="24"/>
      <c r="E648" s="24"/>
      <c r="K648" s="9"/>
      <c r="M648" s="9"/>
    </row>
    <row r="649">
      <c r="A649" s="24"/>
      <c r="E649" s="24"/>
      <c r="K649" s="9"/>
      <c r="M649" s="9"/>
    </row>
    <row r="650">
      <c r="A650" s="24"/>
      <c r="E650" s="24"/>
      <c r="K650" s="9"/>
      <c r="M650" s="9"/>
    </row>
    <row r="651">
      <c r="A651" s="24"/>
      <c r="E651" s="24"/>
      <c r="K651" s="9"/>
      <c r="M651" s="9"/>
    </row>
    <row r="652">
      <c r="A652" s="24"/>
      <c r="E652" s="24"/>
      <c r="K652" s="9"/>
      <c r="M652" s="9"/>
    </row>
    <row r="653">
      <c r="A653" s="24"/>
      <c r="E653" s="24"/>
      <c r="K653" s="9"/>
      <c r="M653" s="9"/>
    </row>
    <row r="654">
      <c r="A654" s="24"/>
      <c r="E654" s="24"/>
      <c r="K654" s="9"/>
      <c r="M654" s="9"/>
    </row>
    <row r="655">
      <c r="A655" s="24"/>
      <c r="E655" s="24"/>
      <c r="K655" s="9"/>
      <c r="M655" s="9"/>
    </row>
    <row r="656">
      <c r="A656" s="24"/>
      <c r="E656" s="24"/>
      <c r="K656" s="9"/>
      <c r="M656" s="9"/>
    </row>
    <row r="657">
      <c r="A657" s="24"/>
      <c r="E657" s="24"/>
      <c r="K657" s="9"/>
      <c r="M657" s="9"/>
    </row>
    <row r="658">
      <c r="A658" s="24"/>
      <c r="E658" s="24"/>
      <c r="K658" s="9"/>
      <c r="M658" s="9"/>
    </row>
    <row r="659">
      <c r="A659" s="24"/>
      <c r="E659" s="24"/>
      <c r="K659" s="9"/>
      <c r="M659" s="9"/>
    </row>
    <row r="660">
      <c r="A660" s="24"/>
      <c r="E660" s="24"/>
      <c r="K660" s="9"/>
      <c r="M660" s="9"/>
    </row>
    <row r="661">
      <c r="A661" s="24"/>
      <c r="E661" s="24"/>
      <c r="K661" s="9"/>
      <c r="M661" s="9"/>
    </row>
    <row r="662">
      <c r="A662" s="24"/>
      <c r="E662" s="24"/>
      <c r="K662" s="9"/>
      <c r="M662" s="9"/>
    </row>
    <row r="663">
      <c r="A663" s="24"/>
      <c r="E663" s="24"/>
      <c r="K663" s="9"/>
      <c r="M663" s="9"/>
    </row>
    <row r="664">
      <c r="A664" s="24"/>
      <c r="E664" s="24"/>
      <c r="K664" s="9"/>
      <c r="M664" s="9"/>
    </row>
    <row r="665">
      <c r="A665" s="24"/>
      <c r="E665" s="24"/>
      <c r="K665" s="9"/>
      <c r="M665" s="9"/>
    </row>
    <row r="666">
      <c r="A666" s="24"/>
      <c r="E666" s="24"/>
      <c r="K666" s="9"/>
      <c r="M666" s="9"/>
    </row>
    <row r="667">
      <c r="A667" s="24"/>
      <c r="E667" s="24"/>
      <c r="K667" s="9"/>
      <c r="M667" s="9"/>
    </row>
    <row r="668">
      <c r="A668" s="24"/>
      <c r="E668" s="24"/>
      <c r="K668" s="9"/>
      <c r="M668" s="9"/>
    </row>
    <row r="669">
      <c r="A669" s="24"/>
      <c r="E669" s="24"/>
      <c r="K669" s="9"/>
      <c r="M669" s="9"/>
    </row>
    <row r="670">
      <c r="A670" s="24"/>
      <c r="E670" s="24"/>
      <c r="K670" s="9"/>
      <c r="M670" s="9"/>
    </row>
    <row r="671">
      <c r="A671" s="24"/>
      <c r="E671" s="24"/>
      <c r="K671" s="9"/>
      <c r="M671" s="9"/>
    </row>
    <row r="672">
      <c r="A672" s="24"/>
      <c r="E672" s="24"/>
      <c r="K672" s="9"/>
      <c r="M672" s="9"/>
    </row>
    <row r="673">
      <c r="A673" s="24"/>
      <c r="E673" s="24"/>
      <c r="K673" s="9"/>
      <c r="M673" s="9"/>
    </row>
    <row r="674">
      <c r="A674" s="24"/>
      <c r="E674" s="24"/>
      <c r="K674" s="9"/>
      <c r="M674" s="9"/>
    </row>
    <row r="675">
      <c r="A675" s="24"/>
      <c r="E675" s="24"/>
      <c r="K675" s="9"/>
      <c r="M675" s="9"/>
    </row>
    <row r="676">
      <c r="A676" s="24"/>
      <c r="E676" s="24"/>
      <c r="K676" s="9"/>
      <c r="M676" s="9"/>
    </row>
    <row r="677">
      <c r="A677" s="24"/>
      <c r="E677" s="24"/>
      <c r="K677" s="9"/>
      <c r="M677" s="9"/>
    </row>
    <row r="678">
      <c r="A678" s="24"/>
      <c r="E678" s="24"/>
      <c r="K678" s="9"/>
      <c r="M678" s="9"/>
    </row>
    <row r="679">
      <c r="A679" s="24"/>
      <c r="E679" s="24"/>
      <c r="K679" s="9"/>
      <c r="M679" s="9"/>
    </row>
    <row r="680">
      <c r="A680" s="24"/>
      <c r="E680" s="24"/>
      <c r="K680" s="9"/>
      <c r="M680" s="9"/>
    </row>
    <row r="681">
      <c r="A681" s="24"/>
      <c r="E681" s="24"/>
      <c r="K681" s="9"/>
      <c r="M681" s="9"/>
    </row>
    <row r="682">
      <c r="A682" s="24"/>
      <c r="E682" s="24"/>
      <c r="K682" s="9"/>
      <c r="M682" s="9"/>
    </row>
    <row r="683">
      <c r="A683" s="24"/>
      <c r="E683" s="24"/>
      <c r="K683" s="9"/>
      <c r="M683" s="9"/>
    </row>
    <row r="684">
      <c r="A684" s="24"/>
      <c r="E684" s="24"/>
      <c r="K684" s="9"/>
      <c r="M684" s="9"/>
    </row>
    <row r="685">
      <c r="A685" s="24"/>
      <c r="E685" s="24"/>
      <c r="K685" s="9"/>
      <c r="M685" s="9"/>
    </row>
    <row r="686">
      <c r="A686" s="24"/>
      <c r="E686" s="24"/>
      <c r="K686" s="9"/>
      <c r="M686" s="9"/>
    </row>
    <row r="687">
      <c r="A687" s="24"/>
      <c r="E687" s="24"/>
      <c r="K687" s="9"/>
      <c r="M687" s="9"/>
    </row>
    <row r="688">
      <c r="A688" s="24"/>
      <c r="E688" s="24"/>
      <c r="K688" s="9"/>
      <c r="M688" s="9"/>
    </row>
    <row r="689">
      <c r="A689" s="24"/>
      <c r="E689" s="24"/>
      <c r="K689" s="9"/>
      <c r="M689" s="9"/>
    </row>
    <row r="690">
      <c r="A690" s="24"/>
      <c r="E690" s="24"/>
      <c r="K690" s="9"/>
      <c r="M690" s="9"/>
    </row>
    <row r="691">
      <c r="A691" s="24"/>
      <c r="E691" s="24"/>
      <c r="K691" s="9"/>
      <c r="M691" s="9"/>
    </row>
    <row r="692">
      <c r="A692" s="24"/>
      <c r="E692" s="24"/>
      <c r="K692" s="9"/>
      <c r="M692" s="9"/>
    </row>
    <row r="693">
      <c r="A693" s="24"/>
      <c r="E693" s="24"/>
      <c r="K693" s="9"/>
      <c r="M693" s="9"/>
    </row>
    <row r="694">
      <c r="A694" s="24"/>
      <c r="E694" s="24"/>
      <c r="K694" s="9"/>
      <c r="M694" s="9"/>
    </row>
    <row r="695">
      <c r="A695" s="24"/>
      <c r="E695" s="24"/>
      <c r="K695" s="9"/>
      <c r="M695" s="9"/>
    </row>
    <row r="696">
      <c r="A696" s="24"/>
      <c r="E696" s="24"/>
      <c r="K696" s="9"/>
      <c r="M696" s="9"/>
    </row>
    <row r="697">
      <c r="A697" s="24"/>
      <c r="E697" s="24"/>
      <c r="K697" s="9"/>
      <c r="M697" s="9"/>
    </row>
    <row r="698">
      <c r="A698" s="24"/>
      <c r="E698" s="24"/>
      <c r="K698" s="9"/>
      <c r="M698" s="9"/>
    </row>
    <row r="699">
      <c r="A699" s="24"/>
      <c r="E699" s="24"/>
      <c r="K699" s="9"/>
      <c r="M699" s="9"/>
    </row>
    <row r="700">
      <c r="A700" s="24"/>
      <c r="E700" s="24"/>
      <c r="K700" s="9"/>
      <c r="M700" s="9"/>
    </row>
    <row r="701">
      <c r="A701" s="24"/>
      <c r="E701" s="24"/>
      <c r="K701" s="9"/>
      <c r="M701" s="9"/>
    </row>
    <row r="702">
      <c r="A702" s="24"/>
      <c r="E702" s="24"/>
      <c r="K702" s="9"/>
      <c r="M702" s="9"/>
    </row>
    <row r="703">
      <c r="A703" s="24"/>
      <c r="E703" s="24"/>
      <c r="K703" s="9"/>
      <c r="M703" s="9"/>
    </row>
    <row r="704">
      <c r="A704" s="24"/>
      <c r="E704" s="24"/>
      <c r="K704" s="9"/>
      <c r="M704" s="9"/>
    </row>
    <row r="705">
      <c r="A705" s="24"/>
      <c r="E705" s="24"/>
      <c r="K705" s="9"/>
      <c r="M705" s="9"/>
    </row>
    <row r="706">
      <c r="A706" s="24"/>
      <c r="E706" s="24"/>
      <c r="K706" s="9"/>
      <c r="M706" s="9"/>
    </row>
    <row r="707">
      <c r="A707" s="24"/>
      <c r="E707" s="24"/>
      <c r="K707" s="9"/>
      <c r="M707" s="9"/>
    </row>
    <row r="708">
      <c r="A708" s="24"/>
      <c r="E708" s="24"/>
      <c r="K708" s="9"/>
      <c r="M708" s="9"/>
    </row>
    <row r="709">
      <c r="A709" s="24"/>
      <c r="E709" s="24"/>
      <c r="K709" s="9"/>
      <c r="M709" s="9"/>
    </row>
    <row r="710">
      <c r="A710" s="24"/>
      <c r="E710" s="24"/>
      <c r="K710" s="9"/>
      <c r="M710" s="9"/>
    </row>
    <row r="711">
      <c r="A711" s="24"/>
      <c r="E711" s="24"/>
      <c r="K711" s="9"/>
      <c r="M711" s="9"/>
    </row>
    <row r="712">
      <c r="A712" s="24"/>
      <c r="E712" s="24"/>
      <c r="K712" s="9"/>
      <c r="M712" s="9"/>
    </row>
    <row r="713">
      <c r="A713" s="24"/>
      <c r="E713" s="24"/>
      <c r="K713" s="9"/>
      <c r="M713" s="9"/>
    </row>
    <row r="714">
      <c r="A714" s="24"/>
      <c r="E714" s="24"/>
      <c r="K714" s="9"/>
      <c r="M714" s="9"/>
    </row>
    <row r="715">
      <c r="A715" s="24"/>
      <c r="E715" s="24"/>
      <c r="K715" s="9"/>
      <c r="M715" s="9"/>
    </row>
    <row r="716">
      <c r="A716" s="24"/>
      <c r="E716" s="24"/>
      <c r="K716" s="9"/>
      <c r="M716" s="9"/>
    </row>
    <row r="717">
      <c r="A717" s="24"/>
      <c r="E717" s="24"/>
      <c r="K717" s="9"/>
      <c r="M717" s="9"/>
    </row>
    <row r="718">
      <c r="A718" s="24"/>
      <c r="E718" s="24"/>
      <c r="K718" s="9"/>
      <c r="M718" s="9"/>
    </row>
    <row r="719">
      <c r="A719" s="24"/>
      <c r="E719" s="24"/>
      <c r="K719" s="9"/>
      <c r="M719" s="9"/>
    </row>
    <row r="720">
      <c r="A720" s="24"/>
      <c r="E720" s="24"/>
      <c r="K720" s="9"/>
      <c r="M720" s="9"/>
    </row>
    <row r="721">
      <c r="A721" s="24"/>
      <c r="E721" s="24"/>
      <c r="K721" s="9"/>
      <c r="M721" s="9"/>
    </row>
    <row r="722">
      <c r="A722" s="24"/>
      <c r="E722" s="24"/>
      <c r="K722" s="9"/>
      <c r="M722" s="9"/>
    </row>
    <row r="723">
      <c r="A723" s="24"/>
      <c r="E723" s="24"/>
      <c r="K723" s="9"/>
      <c r="M723" s="9"/>
    </row>
    <row r="724">
      <c r="A724" s="24"/>
      <c r="E724" s="24"/>
      <c r="K724" s="9"/>
      <c r="M724" s="9"/>
    </row>
    <row r="725">
      <c r="A725" s="24"/>
      <c r="E725" s="24"/>
      <c r="K725" s="9"/>
      <c r="M725" s="9"/>
    </row>
    <row r="726">
      <c r="A726" s="24"/>
      <c r="E726" s="24"/>
      <c r="K726" s="9"/>
      <c r="M726" s="9"/>
    </row>
    <row r="727">
      <c r="A727" s="24"/>
      <c r="E727" s="24"/>
      <c r="K727" s="9"/>
      <c r="M727" s="9"/>
    </row>
    <row r="728">
      <c r="A728" s="24"/>
      <c r="E728" s="24"/>
      <c r="K728" s="9"/>
      <c r="M728" s="9"/>
    </row>
    <row r="729">
      <c r="A729" s="24"/>
      <c r="E729" s="24"/>
      <c r="K729" s="9"/>
      <c r="M729" s="9"/>
    </row>
    <row r="730">
      <c r="A730" s="24"/>
      <c r="E730" s="24"/>
      <c r="K730" s="9"/>
      <c r="M730" s="9"/>
    </row>
    <row r="731">
      <c r="A731" s="24"/>
      <c r="E731" s="24"/>
      <c r="K731" s="9"/>
      <c r="M731" s="9"/>
    </row>
    <row r="732">
      <c r="A732" s="24"/>
      <c r="E732" s="24"/>
      <c r="K732" s="9"/>
      <c r="M732" s="9"/>
    </row>
    <row r="733">
      <c r="A733" s="24"/>
      <c r="E733" s="24"/>
      <c r="K733" s="9"/>
      <c r="M733" s="9"/>
    </row>
    <row r="734">
      <c r="A734" s="24"/>
      <c r="E734" s="24"/>
      <c r="K734" s="9"/>
      <c r="M734" s="9"/>
    </row>
    <row r="735">
      <c r="A735" s="24"/>
      <c r="E735" s="24"/>
      <c r="K735" s="9"/>
      <c r="M735" s="9"/>
    </row>
    <row r="736">
      <c r="A736" s="24"/>
      <c r="E736" s="24"/>
      <c r="K736" s="9"/>
      <c r="M736" s="9"/>
    </row>
    <row r="737">
      <c r="A737" s="24"/>
      <c r="E737" s="24"/>
      <c r="K737" s="9"/>
      <c r="M737" s="9"/>
    </row>
    <row r="738">
      <c r="A738" s="24"/>
      <c r="E738" s="24"/>
      <c r="K738" s="9"/>
      <c r="M738" s="9"/>
    </row>
    <row r="739">
      <c r="A739" s="24"/>
      <c r="E739" s="24"/>
      <c r="K739" s="9"/>
      <c r="M739" s="9"/>
    </row>
    <row r="740">
      <c r="A740" s="24"/>
      <c r="E740" s="24"/>
      <c r="K740" s="9"/>
      <c r="M740" s="9"/>
    </row>
    <row r="741">
      <c r="A741" s="24"/>
      <c r="E741" s="24"/>
      <c r="K741" s="9"/>
      <c r="M741" s="9"/>
    </row>
    <row r="742">
      <c r="A742" s="24"/>
      <c r="E742" s="24"/>
      <c r="K742" s="9"/>
      <c r="M742" s="9"/>
    </row>
    <row r="743">
      <c r="A743" s="24"/>
      <c r="E743" s="24"/>
      <c r="K743" s="9"/>
      <c r="M743" s="9"/>
    </row>
    <row r="744">
      <c r="A744" s="24"/>
      <c r="E744" s="24"/>
      <c r="K744" s="9"/>
      <c r="M744" s="9"/>
    </row>
    <row r="745">
      <c r="A745" s="24"/>
      <c r="E745" s="24"/>
      <c r="K745" s="9"/>
      <c r="M745" s="9"/>
    </row>
    <row r="746">
      <c r="A746" s="24"/>
      <c r="E746" s="24"/>
      <c r="K746" s="9"/>
      <c r="M746" s="9"/>
    </row>
    <row r="747">
      <c r="A747" s="24"/>
      <c r="E747" s="24"/>
      <c r="K747" s="9"/>
      <c r="M747" s="9"/>
    </row>
    <row r="748">
      <c r="A748" s="24"/>
      <c r="E748" s="24"/>
      <c r="K748" s="9"/>
      <c r="M748" s="9"/>
    </row>
    <row r="749">
      <c r="A749" s="24"/>
      <c r="E749" s="24"/>
      <c r="K749" s="9"/>
      <c r="M749" s="9"/>
    </row>
    <row r="750">
      <c r="A750" s="24"/>
      <c r="E750" s="24"/>
      <c r="K750" s="9"/>
      <c r="M750" s="9"/>
    </row>
    <row r="751">
      <c r="A751" s="24"/>
      <c r="E751" s="24"/>
      <c r="K751" s="9"/>
      <c r="M751" s="9"/>
    </row>
    <row r="752">
      <c r="A752" s="24"/>
      <c r="E752" s="24"/>
      <c r="K752" s="9"/>
      <c r="M752" s="9"/>
    </row>
    <row r="753">
      <c r="A753" s="24"/>
      <c r="E753" s="24"/>
      <c r="K753" s="9"/>
      <c r="M753" s="9"/>
    </row>
    <row r="754">
      <c r="A754" s="24"/>
      <c r="E754" s="24"/>
      <c r="K754" s="9"/>
      <c r="M754" s="9"/>
    </row>
    <row r="755">
      <c r="A755" s="24"/>
      <c r="E755" s="24"/>
      <c r="K755" s="9"/>
      <c r="M755" s="9"/>
    </row>
    <row r="756">
      <c r="A756" s="24"/>
      <c r="E756" s="24"/>
      <c r="K756" s="9"/>
      <c r="M756" s="9"/>
    </row>
    <row r="757">
      <c r="A757" s="24"/>
      <c r="E757" s="24"/>
      <c r="K757" s="9"/>
      <c r="M757" s="9"/>
    </row>
    <row r="758">
      <c r="A758" s="24"/>
      <c r="E758" s="24"/>
      <c r="K758" s="9"/>
      <c r="M758" s="9"/>
    </row>
    <row r="759">
      <c r="A759" s="24"/>
      <c r="E759" s="24"/>
      <c r="K759" s="9"/>
      <c r="M759" s="9"/>
    </row>
    <row r="760">
      <c r="A760" s="24"/>
      <c r="E760" s="24"/>
      <c r="K760" s="9"/>
      <c r="M760" s="9"/>
    </row>
    <row r="761">
      <c r="A761" s="24"/>
      <c r="E761" s="24"/>
      <c r="K761" s="9"/>
      <c r="M761" s="9"/>
    </row>
    <row r="762">
      <c r="A762" s="24"/>
      <c r="E762" s="24"/>
      <c r="K762" s="9"/>
      <c r="M762" s="9"/>
    </row>
    <row r="763">
      <c r="A763" s="24"/>
      <c r="E763" s="24"/>
      <c r="K763" s="9"/>
      <c r="M763" s="9"/>
    </row>
    <row r="764">
      <c r="A764" s="24"/>
      <c r="E764" s="24"/>
      <c r="K764" s="9"/>
      <c r="M764" s="9"/>
    </row>
    <row r="765">
      <c r="A765" s="24"/>
      <c r="E765" s="24"/>
      <c r="K765" s="9"/>
      <c r="M765" s="9"/>
    </row>
    <row r="766">
      <c r="A766" s="24"/>
      <c r="E766" s="24"/>
      <c r="K766" s="9"/>
      <c r="M766" s="9"/>
    </row>
    <row r="767">
      <c r="A767" s="24"/>
      <c r="E767" s="24"/>
      <c r="K767" s="9"/>
      <c r="M767" s="9"/>
    </row>
    <row r="768">
      <c r="A768" s="24"/>
      <c r="E768" s="24"/>
      <c r="K768" s="9"/>
      <c r="M768" s="9"/>
    </row>
    <row r="769">
      <c r="A769" s="24"/>
      <c r="E769" s="24"/>
      <c r="K769" s="9"/>
      <c r="M769" s="9"/>
    </row>
    <row r="770">
      <c r="A770" s="24"/>
      <c r="E770" s="24"/>
      <c r="K770" s="9"/>
      <c r="M770" s="9"/>
    </row>
    <row r="771">
      <c r="A771" s="24"/>
      <c r="E771" s="24"/>
      <c r="K771" s="9"/>
      <c r="M771" s="9"/>
    </row>
    <row r="772">
      <c r="A772" s="24"/>
      <c r="E772" s="24"/>
      <c r="K772" s="9"/>
      <c r="M772" s="9"/>
    </row>
    <row r="773">
      <c r="A773" s="24"/>
      <c r="E773" s="24"/>
      <c r="K773" s="9"/>
      <c r="M773" s="9"/>
    </row>
    <row r="774">
      <c r="A774" s="24"/>
      <c r="E774" s="24"/>
      <c r="K774" s="9"/>
      <c r="M774" s="9"/>
    </row>
    <row r="775">
      <c r="A775" s="24"/>
      <c r="E775" s="24"/>
      <c r="K775" s="9"/>
      <c r="M775" s="9"/>
    </row>
    <row r="776">
      <c r="A776" s="24"/>
      <c r="E776" s="24"/>
      <c r="K776" s="9"/>
      <c r="M776" s="9"/>
    </row>
    <row r="777">
      <c r="A777" s="24"/>
      <c r="E777" s="24"/>
      <c r="K777" s="9"/>
      <c r="M777" s="9"/>
    </row>
    <row r="778">
      <c r="A778" s="24"/>
      <c r="E778" s="24"/>
      <c r="K778" s="9"/>
      <c r="M778" s="9"/>
    </row>
    <row r="779">
      <c r="A779" s="24"/>
      <c r="E779" s="24"/>
      <c r="K779" s="9"/>
      <c r="M779" s="9"/>
    </row>
    <row r="780">
      <c r="A780" s="24"/>
      <c r="E780" s="24"/>
      <c r="K780" s="9"/>
      <c r="M780" s="9"/>
    </row>
    <row r="781">
      <c r="A781" s="24"/>
      <c r="E781" s="24"/>
      <c r="K781" s="9"/>
      <c r="M781" s="9"/>
    </row>
    <row r="782">
      <c r="A782" s="24"/>
      <c r="E782" s="24"/>
      <c r="K782" s="9"/>
      <c r="M782" s="9"/>
    </row>
    <row r="783">
      <c r="A783" s="24"/>
      <c r="E783" s="24"/>
      <c r="K783" s="9"/>
      <c r="M783" s="9"/>
    </row>
    <row r="784">
      <c r="A784" s="24"/>
      <c r="E784" s="24"/>
      <c r="K784" s="9"/>
      <c r="M784" s="9"/>
    </row>
    <row r="785">
      <c r="A785" s="24"/>
      <c r="E785" s="24"/>
      <c r="K785" s="9"/>
      <c r="M785" s="9"/>
    </row>
    <row r="786">
      <c r="A786" s="24"/>
      <c r="E786" s="24"/>
      <c r="K786" s="9"/>
      <c r="M786" s="9"/>
    </row>
    <row r="787">
      <c r="A787" s="24"/>
      <c r="E787" s="24"/>
      <c r="K787" s="9"/>
      <c r="M787" s="9"/>
    </row>
    <row r="788">
      <c r="A788" s="24"/>
      <c r="E788" s="24"/>
      <c r="K788" s="9"/>
      <c r="M788" s="9"/>
    </row>
    <row r="789">
      <c r="A789" s="24"/>
      <c r="E789" s="24"/>
      <c r="K789" s="9"/>
      <c r="M789" s="9"/>
    </row>
    <row r="790">
      <c r="A790" s="24"/>
      <c r="E790" s="24"/>
      <c r="K790" s="9"/>
      <c r="M790" s="9"/>
    </row>
    <row r="791">
      <c r="A791" s="24"/>
      <c r="E791" s="24"/>
      <c r="K791" s="9"/>
      <c r="M791" s="9"/>
    </row>
    <row r="792">
      <c r="A792" s="24"/>
      <c r="E792" s="24"/>
      <c r="K792" s="9"/>
      <c r="M792" s="9"/>
    </row>
    <row r="793">
      <c r="A793" s="24"/>
      <c r="E793" s="24"/>
      <c r="K793" s="9"/>
      <c r="M793" s="9"/>
    </row>
    <row r="794">
      <c r="A794" s="24"/>
      <c r="E794" s="24"/>
      <c r="K794" s="9"/>
      <c r="M794" s="9"/>
    </row>
    <row r="795">
      <c r="A795" s="24"/>
      <c r="E795" s="24"/>
      <c r="K795" s="9"/>
      <c r="M795" s="9"/>
    </row>
    <row r="796">
      <c r="A796" s="24"/>
      <c r="E796" s="24"/>
      <c r="K796" s="9"/>
      <c r="M796" s="9"/>
    </row>
    <row r="797">
      <c r="A797" s="24"/>
      <c r="E797" s="24"/>
      <c r="K797" s="9"/>
      <c r="M797" s="9"/>
    </row>
    <row r="798">
      <c r="A798" s="24"/>
      <c r="E798" s="24"/>
      <c r="K798" s="9"/>
      <c r="M798" s="9"/>
    </row>
    <row r="799">
      <c r="A799" s="24"/>
      <c r="E799" s="24"/>
      <c r="K799" s="9"/>
      <c r="M799" s="9"/>
    </row>
    <row r="800">
      <c r="A800" s="24"/>
      <c r="E800" s="24"/>
      <c r="K800" s="9"/>
      <c r="M800" s="9"/>
    </row>
    <row r="801">
      <c r="A801" s="24"/>
      <c r="E801" s="24"/>
      <c r="K801" s="9"/>
      <c r="M801" s="9"/>
    </row>
    <row r="802">
      <c r="A802" s="24"/>
      <c r="E802" s="24"/>
      <c r="K802" s="9"/>
      <c r="M802" s="9"/>
    </row>
    <row r="803">
      <c r="A803" s="24"/>
      <c r="E803" s="24"/>
      <c r="K803" s="9"/>
      <c r="M803" s="9"/>
    </row>
    <row r="804">
      <c r="A804" s="24"/>
      <c r="E804" s="24"/>
      <c r="K804" s="9"/>
      <c r="M804" s="9"/>
    </row>
    <row r="805">
      <c r="A805" s="24"/>
      <c r="E805" s="24"/>
      <c r="K805" s="9"/>
      <c r="M805" s="9"/>
    </row>
    <row r="806">
      <c r="A806" s="24"/>
      <c r="E806" s="24"/>
      <c r="K806" s="9"/>
      <c r="M806" s="9"/>
    </row>
    <row r="807">
      <c r="A807" s="24"/>
      <c r="E807" s="24"/>
      <c r="K807" s="9"/>
      <c r="M807" s="9"/>
    </row>
    <row r="808">
      <c r="A808" s="24"/>
      <c r="E808" s="24"/>
      <c r="K808" s="9"/>
      <c r="M808" s="9"/>
    </row>
    <row r="809">
      <c r="A809" s="24"/>
      <c r="E809" s="24"/>
      <c r="K809" s="9"/>
      <c r="M809" s="9"/>
    </row>
    <row r="810">
      <c r="A810" s="24"/>
      <c r="E810" s="24"/>
      <c r="K810" s="9"/>
      <c r="M810" s="9"/>
    </row>
    <row r="811">
      <c r="A811" s="24"/>
      <c r="E811" s="24"/>
      <c r="K811" s="9"/>
      <c r="M811" s="9"/>
    </row>
    <row r="812">
      <c r="A812" s="24"/>
      <c r="E812" s="24"/>
      <c r="K812" s="9"/>
      <c r="M812" s="9"/>
    </row>
    <row r="813">
      <c r="A813" s="24"/>
      <c r="E813" s="24"/>
      <c r="K813" s="9"/>
      <c r="M813" s="9"/>
    </row>
    <row r="814">
      <c r="A814" s="24"/>
      <c r="E814" s="24"/>
      <c r="K814" s="9"/>
      <c r="M814" s="9"/>
    </row>
    <row r="815">
      <c r="A815" s="24"/>
      <c r="E815" s="24"/>
      <c r="K815" s="9"/>
      <c r="M815" s="9"/>
    </row>
    <row r="816">
      <c r="A816" s="24"/>
      <c r="E816" s="24"/>
      <c r="K816" s="9"/>
      <c r="M816" s="9"/>
    </row>
    <row r="817">
      <c r="A817" s="24"/>
      <c r="E817" s="24"/>
      <c r="K817" s="9"/>
      <c r="M817" s="9"/>
    </row>
    <row r="818">
      <c r="A818" s="24"/>
      <c r="E818" s="24"/>
      <c r="K818" s="9"/>
      <c r="M818" s="9"/>
    </row>
    <row r="819">
      <c r="A819" s="24"/>
      <c r="E819" s="24"/>
      <c r="K819" s="9"/>
      <c r="M819" s="9"/>
    </row>
    <row r="820">
      <c r="A820" s="24"/>
      <c r="E820" s="24"/>
      <c r="K820" s="9"/>
      <c r="M820" s="9"/>
    </row>
    <row r="821">
      <c r="A821" s="24"/>
      <c r="E821" s="24"/>
      <c r="K821" s="9"/>
      <c r="M821" s="9"/>
    </row>
    <row r="822">
      <c r="A822" s="24"/>
      <c r="E822" s="24"/>
      <c r="K822" s="9"/>
      <c r="M822" s="9"/>
    </row>
    <row r="823">
      <c r="A823" s="24"/>
      <c r="E823" s="24"/>
      <c r="K823" s="9"/>
      <c r="M823" s="9"/>
    </row>
    <row r="824">
      <c r="A824" s="24"/>
      <c r="E824" s="24"/>
      <c r="K824" s="9"/>
      <c r="M824" s="9"/>
    </row>
    <row r="825">
      <c r="A825" s="24"/>
      <c r="E825" s="24"/>
      <c r="K825" s="9"/>
      <c r="M825" s="9"/>
    </row>
    <row r="826">
      <c r="A826" s="24"/>
      <c r="E826" s="24"/>
      <c r="K826" s="9"/>
      <c r="M826" s="9"/>
    </row>
    <row r="827">
      <c r="A827" s="24"/>
      <c r="E827" s="24"/>
      <c r="K827" s="9"/>
      <c r="M827" s="9"/>
    </row>
    <row r="828">
      <c r="A828" s="24"/>
      <c r="E828" s="24"/>
      <c r="K828" s="9"/>
      <c r="M828" s="9"/>
    </row>
    <row r="829">
      <c r="A829" s="24"/>
      <c r="E829" s="24"/>
      <c r="K829" s="9"/>
      <c r="M829" s="9"/>
    </row>
    <row r="830">
      <c r="A830" s="24"/>
      <c r="E830" s="24"/>
      <c r="K830" s="9"/>
      <c r="M830" s="9"/>
    </row>
    <row r="831">
      <c r="A831" s="24"/>
      <c r="E831" s="24"/>
      <c r="K831" s="9"/>
      <c r="M831" s="9"/>
    </row>
    <row r="832">
      <c r="A832" s="24"/>
      <c r="E832" s="24"/>
      <c r="K832" s="9"/>
      <c r="M832" s="9"/>
    </row>
    <row r="833">
      <c r="A833" s="24"/>
      <c r="E833" s="24"/>
      <c r="K833" s="9"/>
      <c r="M833" s="9"/>
    </row>
    <row r="834">
      <c r="A834" s="24"/>
      <c r="E834" s="24"/>
      <c r="K834" s="9"/>
      <c r="M834" s="9"/>
    </row>
    <row r="835">
      <c r="A835" s="24"/>
      <c r="E835" s="24"/>
      <c r="K835" s="9"/>
      <c r="M835" s="9"/>
    </row>
    <row r="836">
      <c r="A836" s="24"/>
      <c r="E836" s="24"/>
      <c r="K836" s="9"/>
      <c r="M836" s="9"/>
    </row>
    <row r="837">
      <c r="A837" s="24"/>
      <c r="E837" s="24"/>
      <c r="K837" s="9"/>
      <c r="M837" s="9"/>
    </row>
    <row r="838">
      <c r="A838" s="24"/>
      <c r="E838" s="24"/>
      <c r="K838" s="9"/>
      <c r="M838" s="9"/>
    </row>
    <row r="839">
      <c r="A839" s="24"/>
      <c r="E839" s="24"/>
      <c r="K839" s="9"/>
      <c r="M839" s="9"/>
    </row>
    <row r="840">
      <c r="A840" s="24"/>
      <c r="E840" s="24"/>
      <c r="K840" s="9"/>
      <c r="M840" s="9"/>
    </row>
    <row r="841">
      <c r="A841" s="24"/>
      <c r="E841" s="24"/>
      <c r="K841" s="9"/>
      <c r="M841" s="9"/>
    </row>
    <row r="842">
      <c r="A842" s="24"/>
      <c r="E842" s="24"/>
      <c r="K842" s="9"/>
      <c r="M842" s="9"/>
    </row>
    <row r="843">
      <c r="A843" s="24"/>
      <c r="E843" s="24"/>
      <c r="K843" s="9"/>
      <c r="M843" s="9"/>
    </row>
    <row r="844">
      <c r="A844" s="24"/>
      <c r="E844" s="24"/>
      <c r="K844" s="9"/>
      <c r="M844" s="9"/>
    </row>
    <row r="845">
      <c r="A845" s="24"/>
      <c r="E845" s="24"/>
      <c r="K845" s="9"/>
      <c r="M845" s="9"/>
    </row>
    <row r="846">
      <c r="A846" s="24"/>
      <c r="E846" s="24"/>
      <c r="K846" s="9"/>
      <c r="M846" s="9"/>
    </row>
    <row r="847">
      <c r="A847" s="24"/>
      <c r="E847" s="24"/>
      <c r="K847" s="9"/>
      <c r="M847" s="9"/>
    </row>
    <row r="848">
      <c r="A848" s="24"/>
      <c r="E848" s="24"/>
      <c r="K848" s="9"/>
      <c r="M848" s="9"/>
    </row>
    <row r="849">
      <c r="A849" s="24"/>
      <c r="E849" s="24"/>
      <c r="K849" s="9"/>
      <c r="M849" s="9"/>
    </row>
    <row r="850">
      <c r="A850" s="24"/>
      <c r="E850" s="24"/>
      <c r="K850" s="9"/>
      <c r="M850" s="9"/>
    </row>
    <row r="851">
      <c r="A851" s="24"/>
      <c r="E851" s="24"/>
      <c r="K851" s="9"/>
      <c r="M851" s="9"/>
    </row>
    <row r="852">
      <c r="A852" s="24"/>
      <c r="E852" s="24"/>
      <c r="K852" s="9"/>
      <c r="M852" s="9"/>
    </row>
    <row r="853">
      <c r="A853" s="24"/>
      <c r="E853" s="24"/>
      <c r="K853" s="9"/>
      <c r="M853" s="9"/>
    </row>
    <row r="854">
      <c r="A854" s="24"/>
      <c r="E854" s="24"/>
      <c r="K854" s="9"/>
      <c r="M854" s="9"/>
    </row>
    <row r="855">
      <c r="A855" s="24"/>
      <c r="E855" s="24"/>
      <c r="K855" s="9"/>
      <c r="M855" s="9"/>
    </row>
    <row r="856">
      <c r="A856" s="24"/>
      <c r="E856" s="24"/>
      <c r="K856" s="9"/>
      <c r="M856" s="9"/>
    </row>
    <row r="857">
      <c r="A857" s="24"/>
      <c r="E857" s="24"/>
      <c r="K857" s="9"/>
      <c r="M857" s="9"/>
    </row>
    <row r="858">
      <c r="A858" s="24"/>
      <c r="E858" s="24"/>
      <c r="K858" s="9"/>
      <c r="M858" s="9"/>
    </row>
    <row r="859">
      <c r="A859" s="24"/>
      <c r="E859" s="24"/>
      <c r="K859" s="9"/>
      <c r="M859" s="9"/>
    </row>
    <row r="860">
      <c r="A860" s="24"/>
      <c r="E860" s="24"/>
      <c r="K860" s="9"/>
      <c r="M860" s="9"/>
    </row>
    <row r="861">
      <c r="A861" s="24"/>
      <c r="E861" s="24"/>
      <c r="K861" s="9"/>
      <c r="M861" s="9"/>
    </row>
    <row r="862">
      <c r="A862" s="24"/>
      <c r="E862" s="24"/>
      <c r="K862" s="9"/>
      <c r="M862" s="9"/>
    </row>
    <row r="863">
      <c r="A863" s="24"/>
      <c r="E863" s="24"/>
      <c r="K863" s="9"/>
      <c r="M863" s="9"/>
    </row>
    <row r="864">
      <c r="A864" s="24"/>
      <c r="E864" s="24"/>
      <c r="K864" s="9"/>
      <c r="M864" s="9"/>
    </row>
    <row r="865">
      <c r="A865" s="24"/>
      <c r="E865" s="24"/>
      <c r="K865" s="9"/>
      <c r="M865" s="9"/>
    </row>
    <row r="866">
      <c r="A866" s="24"/>
      <c r="E866" s="24"/>
      <c r="K866" s="9"/>
      <c r="M866" s="9"/>
    </row>
    <row r="867">
      <c r="A867" s="24"/>
      <c r="E867" s="24"/>
      <c r="K867" s="9"/>
      <c r="M867" s="9"/>
    </row>
    <row r="868">
      <c r="A868" s="24"/>
      <c r="E868" s="24"/>
      <c r="K868" s="9"/>
      <c r="M868" s="9"/>
    </row>
    <row r="869">
      <c r="A869" s="24"/>
      <c r="E869" s="24"/>
      <c r="K869" s="9"/>
      <c r="M869" s="9"/>
    </row>
    <row r="870">
      <c r="A870" s="24"/>
      <c r="E870" s="24"/>
      <c r="K870" s="9"/>
      <c r="M870" s="9"/>
    </row>
    <row r="871">
      <c r="A871" s="24"/>
      <c r="E871" s="24"/>
      <c r="K871" s="9"/>
      <c r="M871" s="9"/>
    </row>
    <row r="872">
      <c r="A872" s="24"/>
      <c r="E872" s="24"/>
      <c r="K872" s="9"/>
      <c r="M872" s="9"/>
    </row>
    <row r="873">
      <c r="A873" s="24"/>
      <c r="E873" s="24"/>
      <c r="K873" s="9"/>
      <c r="M873" s="9"/>
    </row>
    <row r="874">
      <c r="A874" s="24"/>
      <c r="E874" s="24"/>
      <c r="K874" s="9"/>
      <c r="M874" s="9"/>
    </row>
    <row r="875">
      <c r="A875" s="24"/>
      <c r="E875" s="24"/>
      <c r="K875" s="9"/>
      <c r="M875" s="9"/>
    </row>
    <row r="876">
      <c r="A876" s="24"/>
      <c r="E876" s="24"/>
      <c r="K876" s="9"/>
      <c r="M876" s="9"/>
    </row>
    <row r="877">
      <c r="A877" s="24"/>
      <c r="E877" s="24"/>
      <c r="K877" s="9"/>
      <c r="M877" s="9"/>
    </row>
    <row r="878">
      <c r="A878" s="24"/>
      <c r="E878" s="24"/>
      <c r="K878" s="9"/>
      <c r="M878" s="9"/>
    </row>
    <row r="879">
      <c r="A879" s="24"/>
      <c r="E879" s="24"/>
      <c r="K879" s="9"/>
      <c r="M879" s="9"/>
    </row>
    <row r="880">
      <c r="A880" s="24"/>
      <c r="E880" s="24"/>
      <c r="K880" s="9"/>
      <c r="M880" s="9"/>
    </row>
    <row r="881">
      <c r="A881" s="24"/>
      <c r="E881" s="24"/>
      <c r="K881" s="9"/>
      <c r="M881" s="9"/>
    </row>
    <row r="882">
      <c r="A882" s="24"/>
      <c r="E882" s="24"/>
      <c r="K882" s="9"/>
      <c r="M882" s="9"/>
    </row>
    <row r="883">
      <c r="A883" s="24"/>
      <c r="E883" s="24"/>
      <c r="K883" s="9"/>
      <c r="M883" s="9"/>
    </row>
    <row r="884">
      <c r="A884" s="24"/>
      <c r="E884" s="24"/>
      <c r="K884" s="9"/>
      <c r="M884" s="9"/>
    </row>
    <row r="885">
      <c r="A885" s="24"/>
      <c r="E885" s="24"/>
      <c r="K885" s="9"/>
      <c r="M885" s="9"/>
    </row>
    <row r="886">
      <c r="A886" s="24"/>
      <c r="E886" s="24"/>
      <c r="K886" s="9"/>
      <c r="M886" s="9"/>
    </row>
    <row r="887">
      <c r="A887" s="24"/>
      <c r="E887" s="24"/>
      <c r="K887" s="9"/>
      <c r="M887" s="9"/>
    </row>
    <row r="888">
      <c r="A888" s="24"/>
      <c r="E888" s="24"/>
      <c r="K888" s="9"/>
      <c r="M888" s="9"/>
    </row>
    <row r="889">
      <c r="A889" s="24"/>
      <c r="E889" s="24"/>
      <c r="K889" s="9"/>
      <c r="M889" s="9"/>
    </row>
    <row r="890">
      <c r="A890" s="24"/>
      <c r="E890" s="24"/>
      <c r="K890" s="9"/>
      <c r="M890" s="9"/>
    </row>
    <row r="891">
      <c r="A891" s="24"/>
      <c r="E891" s="24"/>
      <c r="K891" s="9"/>
      <c r="M891" s="9"/>
    </row>
    <row r="892">
      <c r="A892" s="24"/>
      <c r="E892" s="24"/>
      <c r="K892" s="9"/>
      <c r="M892" s="9"/>
    </row>
    <row r="893">
      <c r="A893" s="24"/>
      <c r="E893" s="24"/>
      <c r="K893" s="9"/>
      <c r="M893" s="9"/>
    </row>
    <row r="894">
      <c r="A894" s="24"/>
      <c r="E894" s="24"/>
      <c r="K894" s="9"/>
      <c r="M894" s="9"/>
    </row>
    <row r="895">
      <c r="A895" s="24"/>
      <c r="E895" s="24"/>
      <c r="K895" s="9"/>
      <c r="M895" s="9"/>
    </row>
    <row r="896">
      <c r="A896" s="24"/>
      <c r="E896" s="24"/>
      <c r="K896" s="9"/>
      <c r="M896" s="9"/>
    </row>
    <row r="897">
      <c r="A897" s="24"/>
      <c r="E897" s="24"/>
      <c r="K897" s="9"/>
      <c r="M897" s="9"/>
    </row>
    <row r="898">
      <c r="A898" s="24"/>
      <c r="E898" s="24"/>
      <c r="K898" s="9"/>
      <c r="M898" s="9"/>
    </row>
    <row r="899">
      <c r="A899" s="24"/>
      <c r="E899" s="24"/>
      <c r="K899" s="9"/>
      <c r="M899" s="9"/>
    </row>
    <row r="900">
      <c r="A900" s="24"/>
      <c r="E900" s="24"/>
      <c r="K900" s="9"/>
      <c r="M900" s="9"/>
    </row>
    <row r="901">
      <c r="A901" s="24"/>
      <c r="E901" s="24"/>
      <c r="K901" s="9"/>
      <c r="M901" s="9"/>
    </row>
    <row r="902">
      <c r="A902" s="24"/>
      <c r="E902" s="24"/>
      <c r="K902" s="9"/>
      <c r="M902" s="9"/>
    </row>
    <row r="903">
      <c r="A903" s="24"/>
      <c r="E903" s="24"/>
      <c r="K903" s="9"/>
      <c r="M903" s="9"/>
    </row>
    <row r="904">
      <c r="A904" s="24"/>
      <c r="E904" s="24"/>
      <c r="K904" s="9"/>
      <c r="M904" s="9"/>
    </row>
    <row r="905">
      <c r="A905" s="24"/>
      <c r="E905" s="24"/>
      <c r="K905" s="9"/>
      <c r="M905" s="9"/>
    </row>
    <row r="906">
      <c r="A906" s="24"/>
      <c r="E906" s="24"/>
      <c r="K906" s="9"/>
      <c r="M906" s="9"/>
    </row>
    <row r="907">
      <c r="A907" s="24"/>
      <c r="E907" s="24"/>
      <c r="K907" s="9"/>
      <c r="M907" s="9"/>
    </row>
    <row r="908">
      <c r="A908" s="24"/>
      <c r="E908" s="24"/>
      <c r="K908" s="9"/>
      <c r="M908" s="9"/>
    </row>
    <row r="909">
      <c r="A909" s="24"/>
      <c r="E909" s="24"/>
      <c r="K909" s="9"/>
      <c r="M909" s="9"/>
    </row>
    <row r="910">
      <c r="A910" s="24"/>
      <c r="E910" s="24"/>
      <c r="K910" s="9"/>
      <c r="M910" s="9"/>
    </row>
    <row r="911">
      <c r="A911" s="24"/>
      <c r="E911" s="24"/>
      <c r="K911" s="9"/>
      <c r="M911" s="9"/>
    </row>
    <row r="912">
      <c r="A912" s="24"/>
      <c r="E912" s="24"/>
      <c r="K912" s="9"/>
      <c r="M912" s="9"/>
    </row>
    <row r="913">
      <c r="A913" s="24"/>
      <c r="E913" s="24"/>
      <c r="K913" s="9"/>
      <c r="M913" s="9"/>
    </row>
    <row r="914">
      <c r="A914" s="24"/>
      <c r="E914" s="24"/>
      <c r="K914" s="9"/>
      <c r="M914" s="9"/>
    </row>
    <row r="915">
      <c r="A915" s="24"/>
      <c r="E915" s="24"/>
      <c r="K915" s="9"/>
      <c r="M915" s="9"/>
    </row>
    <row r="916">
      <c r="A916" s="24"/>
      <c r="E916" s="24"/>
      <c r="K916" s="9"/>
      <c r="M916" s="9"/>
    </row>
    <row r="917">
      <c r="A917" s="24"/>
      <c r="E917" s="24"/>
      <c r="K917" s="9"/>
      <c r="M917" s="9"/>
    </row>
    <row r="918">
      <c r="A918" s="24"/>
      <c r="E918" s="24"/>
      <c r="K918" s="9"/>
      <c r="M918" s="9"/>
    </row>
    <row r="919">
      <c r="A919" s="24"/>
      <c r="E919" s="24"/>
      <c r="K919" s="9"/>
      <c r="M919" s="9"/>
    </row>
    <row r="920">
      <c r="A920" s="24"/>
      <c r="E920" s="24"/>
      <c r="K920" s="9"/>
      <c r="M920" s="9"/>
    </row>
    <row r="921">
      <c r="A921" s="24"/>
      <c r="E921" s="24"/>
      <c r="K921" s="9"/>
      <c r="M921" s="9"/>
    </row>
    <row r="922">
      <c r="A922" s="24"/>
      <c r="E922" s="24"/>
      <c r="K922" s="9"/>
      <c r="M922" s="9"/>
    </row>
    <row r="923">
      <c r="A923" s="24"/>
      <c r="E923" s="24"/>
      <c r="K923" s="9"/>
      <c r="M923" s="9"/>
    </row>
    <row r="924">
      <c r="A924" s="24"/>
      <c r="E924" s="24"/>
      <c r="K924" s="9"/>
      <c r="M924" s="9"/>
    </row>
    <row r="925">
      <c r="A925" s="24"/>
      <c r="E925" s="24"/>
      <c r="K925" s="9"/>
      <c r="M925" s="9"/>
    </row>
    <row r="926">
      <c r="A926" s="24"/>
      <c r="E926" s="24"/>
      <c r="K926" s="9"/>
      <c r="M926" s="9"/>
    </row>
    <row r="927">
      <c r="A927" s="24"/>
      <c r="E927" s="24"/>
      <c r="K927" s="9"/>
      <c r="M927" s="9"/>
    </row>
    <row r="928">
      <c r="A928" s="24"/>
      <c r="E928" s="24"/>
      <c r="K928" s="9"/>
      <c r="M928" s="9"/>
    </row>
    <row r="929">
      <c r="A929" s="24"/>
      <c r="E929" s="24"/>
      <c r="K929" s="9"/>
      <c r="M929" s="9"/>
    </row>
    <row r="930">
      <c r="A930" s="24"/>
      <c r="E930" s="24"/>
      <c r="K930" s="9"/>
      <c r="M930" s="9"/>
    </row>
    <row r="931">
      <c r="A931" s="24"/>
      <c r="E931" s="24"/>
      <c r="K931" s="9"/>
      <c r="M931" s="9"/>
    </row>
    <row r="932">
      <c r="A932" s="24"/>
      <c r="E932" s="24"/>
      <c r="K932" s="9"/>
      <c r="M932" s="9"/>
    </row>
    <row r="933">
      <c r="A933" s="24"/>
      <c r="E933" s="24"/>
      <c r="K933" s="9"/>
      <c r="M933" s="9"/>
    </row>
    <row r="934">
      <c r="A934" s="24"/>
      <c r="E934" s="24"/>
      <c r="K934" s="9"/>
      <c r="M934" s="9"/>
    </row>
    <row r="935">
      <c r="A935" s="24"/>
      <c r="E935" s="24"/>
      <c r="K935" s="9"/>
      <c r="M935" s="9"/>
    </row>
    <row r="936">
      <c r="A936" s="24"/>
      <c r="E936" s="24"/>
      <c r="K936" s="9"/>
      <c r="M936" s="9"/>
    </row>
    <row r="937">
      <c r="A937" s="24"/>
      <c r="E937" s="24"/>
      <c r="K937" s="9"/>
      <c r="M937" s="9"/>
    </row>
    <row r="938">
      <c r="A938" s="24"/>
      <c r="E938" s="24"/>
      <c r="K938" s="9"/>
      <c r="M938" s="9"/>
    </row>
    <row r="939">
      <c r="A939" s="24"/>
      <c r="E939" s="24"/>
      <c r="K939" s="9"/>
      <c r="M939" s="9"/>
    </row>
    <row r="940">
      <c r="A940" s="24"/>
      <c r="E940" s="24"/>
      <c r="K940" s="9"/>
      <c r="M940" s="9"/>
    </row>
    <row r="941">
      <c r="A941" s="24"/>
      <c r="E941" s="24"/>
      <c r="K941" s="9"/>
      <c r="M941" s="9"/>
    </row>
    <row r="942">
      <c r="A942" s="24"/>
      <c r="E942" s="24"/>
      <c r="K942" s="9"/>
      <c r="M942" s="9"/>
    </row>
    <row r="943">
      <c r="A943" s="24"/>
      <c r="E943" s="24"/>
      <c r="K943" s="9"/>
      <c r="M943" s="9"/>
    </row>
    <row r="944">
      <c r="A944" s="24"/>
      <c r="E944" s="24"/>
      <c r="K944" s="9"/>
      <c r="M944" s="9"/>
    </row>
    <row r="945">
      <c r="A945" s="24"/>
      <c r="E945" s="24"/>
      <c r="K945" s="9"/>
      <c r="M945" s="9"/>
    </row>
    <row r="946">
      <c r="A946" s="24"/>
      <c r="E946" s="24"/>
      <c r="K946" s="9"/>
      <c r="M946" s="9"/>
    </row>
    <row r="947">
      <c r="A947" s="24"/>
      <c r="E947" s="24"/>
      <c r="K947" s="9"/>
      <c r="M947" s="9"/>
    </row>
    <row r="948">
      <c r="A948" s="24"/>
      <c r="E948" s="24"/>
      <c r="K948" s="9"/>
      <c r="M948" s="9"/>
    </row>
    <row r="949">
      <c r="A949" s="24"/>
      <c r="E949" s="24"/>
      <c r="K949" s="9"/>
      <c r="M949" s="9"/>
    </row>
    <row r="950">
      <c r="A950" s="24"/>
      <c r="E950" s="24"/>
      <c r="K950" s="9"/>
      <c r="M950" s="9"/>
    </row>
    <row r="951">
      <c r="A951" s="24"/>
      <c r="E951" s="24"/>
      <c r="K951" s="9"/>
      <c r="M951" s="9"/>
    </row>
    <row r="952">
      <c r="A952" s="24"/>
      <c r="E952" s="24"/>
      <c r="K952" s="9"/>
      <c r="M952" s="9"/>
    </row>
    <row r="953">
      <c r="A953" s="24"/>
      <c r="E953" s="24"/>
      <c r="K953" s="9"/>
      <c r="M953" s="9"/>
    </row>
    <row r="954">
      <c r="A954" s="24"/>
      <c r="E954" s="24"/>
      <c r="K954" s="9"/>
      <c r="M954" s="9"/>
    </row>
    <row r="955">
      <c r="A955" s="24"/>
      <c r="E955" s="24"/>
      <c r="K955" s="9"/>
      <c r="M955" s="9"/>
    </row>
    <row r="956">
      <c r="A956" s="24"/>
      <c r="E956" s="24"/>
      <c r="K956" s="9"/>
      <c r="M956" s="9"/>
    </row>
    <row r="957">
      <c r="A957" s="24"/>
      <c r="E957" s="24"/>
      <c r="K957" s="9"/>
      <c r="M957" s="9"/>
    </row>
    <row r="958">
      <c r="A958" s="24"/>
      <c r="E958" s="24"/>
      <c r="K958" s="9"/>
      <c r="M958" s="9"/>
    </row>
    <row r="959">
      <c r="A959" s="24"/>
      <c r="E959" s="24"/>
      <c r="K959" s="9"/>
      <c r="M959" s="9"/>
    </row>
    <row r="960">
      <c r="A960" s="24"/>
      <c r="E960" s="24"/>
      <c r="K960" s="9"/>
      <c r="M960" s="9"/>
    </row>
    <row r="961">
      <c r="A961" s="24"/>
      <c r="E961" s="24"/>
      <c r="K961" s="9"/>
      <c r="M961" s="9"/>
    </row>
    <row r="962">
      <c r="A962" s="24"/>
      <c r="E962" s="24"/>
      <c r="K962" s="9"/>
      <c r="M962" s="9"/>
    </row>
    <row r="963">
      <c r="A963" s="24"/>
      <c r="E963" s="24"/>
      <c r="K963" s="9"/>
      <c r="M963" s="9"/>
    </row>
    <row r="964">
      <c r="A964" s="24"/>
      <c r="E964" s="24"/>
      <c r="K964" s="9"/>
      <c r="M964" s="9"/>
    </row>
    <row r="965">
      <c r="A965" s="24"/>
      <c r="E965" s="24"/>
      <c r="K965" s="9"/>
      <c r="M965" s="9"/>
    </row>
    <row r="966">
      <c r="A966" s="24"/>
      <c r="E966" s="24"/>
      <c r="K966" s="9"/>
      <c r="M966" s="9"/>
    </row>
    <row r="967">
      <c r="A967" s="24"/>
      <c r="E967" s="24"/>
      <c r="K967" s="9"/>
      <c r="M967" s="9"/>
    </row>
    <row r="968">
      <c r="A968" s="24"/>
      <c r="E968" s="24"/>
      <c r="K968" s="9"/>
      <c r="M968" s="9"/>
    </row>
    <row r="969">
      <c r="A969" s="24"/>
      <c r="E969" s="24"/>
      <c r="K969" s="9"/>
      <c r="M969" s="9"/>
    </row>
    <row r="970">
      <c r="A970" s="24"/>
      <c r="E970" s="24"/>
      <c r="K970" s="9"/>
      <c r="M970" s="9"/>
    </row>
    <row r="971">
      <c r="A971" s="24"/>
      <c r="E971" s="24"/>
      <c r="K971" s="9"/>
      <c r="M971" s="9"/>
    </row>
    <row r="972">
      <c r="A972" s="24"/>
      <c r="E972" s="24"/>
      <c r="K972" s="9"/>
      <c r="M972" s="9"/>
    </row>
    <row r="973">
      <c r="A973" s="24"/>
      <c r="E973" s="24"/>
      <c r="K973" s="9"/>
      <c r="M973" s="9"/>
    </row>
    <row r="974">
      <c r="A974" s="24"/>
      <c r="E974" s="24"/>
      <c r="K974" s="9"/>
      <c r="M974" s="9"/>
    </row>
    <row r="975">
      <c r="A975" s="24"/>
      <c r="E975" s="24"/>
      <c r="K975" s="9"/>
      <c r="M975" s="9"/>
    </row>
    <row r="976">
      <c r="A976" s="24"/>
      <c r="E976" s="24"/>
      <c r="K976" s="9"/>
      <c r="M976" s="9"/>
    </row>
    <row r="977">
      <c r="A977" s="24"/>
      <c r="E977" s="24"/>
      <c r="K977" s="9"/>
      <c r="M977" s="9"/>
    </row>
    <row r="978">
      <c r="A978" s="24"/>
      <c r="E978" s="24"/>
      <c r="K978" s="9"/>
      <c r="M978" s="9"/>
    </row>
    <row r="979">
      <c r="A979" s="24"/>
      <c r="E979" s="24"/>
      <c r="K979" s="9"/>
      <c r="M979" s="9"/>
    </row>
    <row r="980">
      <c r="A980" s="24"/>
      <c r="E980" s="24"/>
      <c r="K980" s="9"/>
      <c r="M980" s="9"/>
    </row>
    <row r="981">
      <c r="A981" s="24"/>
      <c r="E981" s="24"/>
      <c r="K981" s="9"/>
      <c r="M981" s="9"/>
    </row>
    <row r="982">
      <c r="A982" s="24"/>
      <c r="E982" s="24"/>
      <c r="K982" s="9"/>
      <c r="M982" s="9"/>
    </row>
    <row r="983">
      <c r="A983" s="24"/>
      <c r="E983" s="24"/>
      <c r="K983" s="9"/>
      <c r="M983" s="9"/>
    </row>
    <row r="984">
      <c r="A984" s="24"/>
      <c r="E984" s="24"/>
      <c r="K984" s="9"/>
      <c r="M984" s="9"/>
    </row>
    <row r="985">
      <c r="A985" s="24"/>
      <c r="E985" s="24"/>
      <c r="K985" s="9"/>
      <c r="M985" s="9"/>
    </row>
    <row r="986">
      <c r="A986" s="24"/>
      <c r="E986" s="24"/>
      <c r="K986" s="9"/>
      <c r="M986" s="9"/>
    </row>
    <row r="987">
      <c r="A987" s="24"/>
      <c r="E987" s="24"/>
      <c r="K987" s="9"/>
      <c r="M987" s="9"/>
    </row>
    <row r="988">
      <c r="A988" s="24"/>
      <c r="E988" s="24"/>
      <c r="K988" s="9"/>
      <c r="M988" s="9"/>
    </row>
    <row r="989">
      <c r="A989" s="24"/>
      <c r="E989" s="24"/>
      <c r="K989" s="9"/>
      <c r="M989" s="9"/>
    </row>
    <row r="990">
      <c r="A990" s="24"/>
      <c r="E990" s="24"/>
      <c r="K990" s="9"/>
      <c r="M990" s="9"/>
    </row>
    <row r="991">
      <c r="A991" s="24"/>
      <c r="E991" s="24"/>
      <c r="K991" s="9"/>
      <c r="M991" s="9"/>
    </row>
    <row r="992">
      <c r="A992" s="24"/>
      <c r="E992" s="24"/>
      <c r="K992" s="9"/>
      <c r="M992" s="9"/>
    </row>
    <row r="993">
      <c r="A993" s="24"/>
      <c r="E993" s="24"/>
      <c r="K993" s="9"/>
      <c r="M993" s="9"/>
    </row>
    <row r="994">
      <c r="A994" s="24"/>
      <c r="E994" s="24"/>
      <c r="K994" s="9"/>
      <c r="M994" s="9"/>
    </row>
    <row r="995">
      <c r="A995" s="24"/>
      <c r="E995" s="24"/>
      <c r="K995" s="9"/>
      <c r="M995" s="9"/>
    </row>
    <row r="996">
      <c r="A996" s="24"/>
      <c r="E996" s="24"/>
      <c r="K996" s="9"/>
      <c r="M996" s="9"/>
    </row>
    <row r="997">
      <c r="A997" s="24"/>
      <c r="E997" s="24"/>
      <c r="K997" s="9"/>
      <c r="M997" s="9"/>
    </row>
    <row r="998">
      <c r="A998" s="24"/>
      <c r="E998" s="24"/>
      <c r="K998" s="9"/>
      <c r="M998" s="9"/>
    </row>
    <row r="999">
      <c r="A999" s="24"/>
      <c r="E999" s="24"/>
      <c r="K999" s="9"/>
      <c r="M999" s="9"/>
    </row>
    <row r="1000">
      <c r="A1000" s="24"/>
      <c r="E1000" s="24"/>
      <c r="K1000" s="9"/>
      <c r="M1000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